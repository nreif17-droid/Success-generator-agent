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ointment Log" sheetId="1" state="visible" r:id="rId1"/>
    <sheet name="Weekly Summary" sheetId="2" state="visible" r:id="rId2"/>
    <sheet name="Legen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$#,##0"/>
    <numFmt numFmtId="166" formatCode="0.0%;-0.0%;&quot;-&quot;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</font>
    <font>
      <name val="Arial"/>
      <i val="1"/>
      <color rgb="00808080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4" fontId="5" fillId="3" borderId="1" pivotButton="0" quotePrefix="0" xfId="0"/>
    <xf numFmtId="0" fontId="6" fillId="0" borderId="1" pivotButton="0" quotePrefix="0" xfId="0"/>
    <xf numFmtId="166" fontId="6" fillId="0" borderId="1" pivotButton="0" quotePrefix="0" xfId="0"/>
    <xf numFmtId="0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vertical="top" wrapText="1"/>
    </xf>
    <xf numFmtId="164" fontId="5" fillId="0" borderId="1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22" customWidth="1" min="3" max="3"/>
    <col width="18" customWidth="1" min="4" max="4"/>
    <col width="12" customWidth="1" min="5" max="5"/>
    <col width="14" customWidth="1" min="6" max="6"/>
    <col width="26" customWidth="1" min="7" max="7"/>
    <col width="26" customWidth="1" min="8" max="8"/>
    <col width="22" customWidth="1" min="9" max="9"/>
    <col width="30" customWidth="1" min="10" max="10"/>
  </cols>
  <sheetData>
    <row r="1">
      <c r="A1" s="1" t="inlineStr">
        <is>
          <t>Sales Job — Appointment Log</t>
        </is>
      </c>
    </row>
    <row r="2" ht="28" customHeight="1">
      <c r="A2" s="2" t="inlineStr">
        <is>
          <t>Fill in one row per appointment (blue header cells below = your data). Target: minimum 18% close rate / stretch 20%, at 15–18 appts/week, by 2026-11-08. See domains/sales-job.md for the full system.</t>
        </is>
      </c>
    </row>
    <row r="4" ht="30" customHeight="1">
      <c r="A4" s="3" t="inlineStr">
        <is>
          <t>Date</t>
        </is>
      </c>
      <c r="B4" s="3" t="inlineStr">
        <is>
          <t>Time Slot</t>
        </is>
      </c>
      <c r="C4" s="3" t="inlineStr">
        <is>
          <t>Prospect / Company</t>
        </is>
      </c>
      <c r="D4" s="3" t="inlineStr">
        <is>
          <t>Contact Name</t>
        </is>
      </c>
      <c r="E4" s="3" t="inlineStr">
        <is>
          <t>Outcome</t>
        </is>
      </c>
      <c r="F4" s="3" t="inlineStr">
        <is>
          <t>Deal Value ($)</t>
        </is>
      </c>
      <c r="G4" s="3" t="inlineStr">
        <is>
          <t>Objection(s) Raised</t>
        </is>
      </c>
      <c r="H4" s="3" t="inlineStr">
        <is>
          <t>What I'd Do Differently</t>
        </is>
      </c>
      <c r="I4" s="3" t="inlineStr">
        <is>
          <t>Next Step</t>
        </is>
      </c>
      <c r="J4" s="3" t="inlineStr">
        <is>
          <t>Notes</t>
        </is>
      </c>
    </row>
    <row r="5">
      <c r="A5" s="4" t="inlineStr">
        <is>
          <t>2026-08-11</t>
        </is>
      </c>
      <c r="B5" s="4" t="inlineStr">
        <is>
          <t>10:00 AM</t>
        </is>
      </c>
      <c r="C5" s="4" t="inlineStr">
        <is>
          <t>(example) Smith Roofing Co.</t>
        </is>
      </c>
      <c r="D5" s="4" t="inlineStr">
        <is>
          <t>Jane Smith</t>
        </is>
      </c>
      <c r="E5" s="4" t="inlineStr">
        <is>
          <t>Closed</t>
        </is>
      </c>
      <c r="F5" s="4" t="n">
        <v>1200</v>
      </c>
      <c r="G5" s="4" t="inlineStr">
        <is>
          <t>Price vs. competitor quote</t>
        </is>
      </c>
      <c r="H5" s="4" t="inlineStr">
        <is>
          <t>Ask about budget earlier in the call</t>
        </is>
      </c>
      <c r="I5" s="4" t="inlineStr">
        <is>
          <t>Send contract for signature</t>
        </is>
      </c>
      <c r="J5" s="4" t="inlineStr">
        <is>
          <t>Warm referral from paired rep</t>
        </is>
      </c>
    </row>
    <row r="6">
      <c r="A6" s="5" t="n"/>
      <c r="B6" s="6" t="n"/>
      <c r="C6" s="6" t="n"/>
      <c r="D6" s="6" t="n"/>
      <c r="E6" s="6" t="n"/>
      <c r="F6" s="7" t="n"/>
      <c r="G6" s="6" t="n"/>
      <c r="H6" s="6" t="n"/>
      <c r="I6" s="6" t="n"/>
      <c r="J6" s="6" t="n"/>
    </row>
    <row r="7">
      <c r="A7" s="5" t="n"/>
      <c r="B7" s="6" t="n"/>
      <c r="C7" s="6" t="n"/>
      <c r="D7" s="6" t="n"/>
      <c r="E7" s="6" t="n"/>
      <c r="F7" s="7" t="n"/>
      <c r="G7" s="6" t="n"/>
      <c r="H7" s="6" t="n"/>
      <c r="I7" s="6" t="n"/>
      <c r="J7" s="6" t="n"/>
    </row>
    <row r="8">
      <c r="A8" s="5" t="n"/>
      <c r="B8" s="6" t="n"/>
      <c r="C8" s="6" t="n"/>
      <c r="D8" s="6" t="n"/>
      <c r="E8" s="6" t="n"/>
      <c r="F8" s="7" t="n"/>
      <c r="G8" s="6" t="n"/>
      <c r="H8" s="6" t="n"/>
      <c r="I8" s="6" t="n"/>
      <c r="J8" s="6" t="n"/>
    </row>
    <row r="9">
      <c r="A9" s="5" t="n"/>
      <c r="B9" s="6" t="n"/>
      <c r="C9" s="6" t="n"/>
      <c r="D9" s="6" t="n"/>
      <c r="E9" s="6" t="n"/>
      <c r="F9" s="7" t="n"/>
      <c r="G9" s="6" t="n"/>
      <c r="H9" s="6" t="n"/>
      <c r="I9" s="6" t="n"/>
      <c r="J9" s="6" t="n"/>
    </row>
    <row r="10">
      <c r="A10" s="5" t="n"/>
      <c r="B10" s="6" t="n"/>
      <c r="C10" s="6" t="n"/>
      <c r="D10" s="6" t="n"/>
      <c r="E10" s="6" t="n"/>
      <c r="F10" s="7" t="n"/>
      <c r="G10" s="6" t="n"/>
      <c r="H10" s="6" t="n"/>
      <c r="I10" s="6" t="n"/>
      <c r="J10" s="6" t="n"/>
    </row>
    <row r="11">
      <c r="A11" s="5" t="n"/>
      <c r="B11" s="6" t="n"/>
      <c r="C11" s="6" t="n"/>
      <c r="D11" s="6" t="n"/>
      <c r="E11" s="6" t="n"/>
      <c r="F11" s="7" t="n"/>
      <c r="G11" s="6" t="n"/>
      <c r="H11" s="6" t="n"/>
      <c r="I11" s="6" t="n"/>
      <c r="J11" s="6" t="n"/>
    </row>
    <row r="12">
      <c r="A12" s="5" t="n"/>
      <c r="B12" s="6" t="n"/>
      <c r="C12" s="6" t="n"/>
      <c r="D12" s="6" t="n"/>
      <c r="E12" s="6" t="n"/>
      <c r="F12" s="7" t="n"/>
      <c r="G12" s="6" t="n"/>
      <c r="H12" s="6" t="n"/>
      <c r="I12" s="6" t="n"/>
      <c r="J12" s="6" t="n"/>
    </row>
    <row r="13">
      <c r="A13" s="5" t="n"/>
      <c r="B13" s="6" t="n"/>
      <c r="C13" s="6" t="n"/>
      <c r="D13" s="6" t="n"/>
      <c r="E13" s="6" t="n"/>
      <c r="F13" s="7" t="n"/>
      <c r="G13" s="6" t="n"/>
      <c r="H13" s="6" t="n"/>
      <c r="I13" s="6" t="n"/>
      <c r="J13" s="6" t="n"/>
    </row>
    <row r="14">
      <c r="A14" s="5" t="n"/>
      <c r="B14" s="6" t="n"/>
      <c r="C14" s="6" t="n"/>
      <c r="D14" s="6" t="n"/>
      <c r="E14" s="6" t="n"/>
      <c r="F14" s="7" t="n"/>
      <c r="G14" s="6" t="n"/>
      <c r="H14" s="6" t="n"/>
      <c r="I14" s="6" t="n"/>
      <c r="J14" s="6" t="n"/>
    </row>
    <row r="15">
      <c r="A15" s="5" t="n"/>
      <c r="B15" s="6" t="n"/>
      <c r="C15" s="6" t="n"/>
      <c r="D15" s="6" t="n"/>
      <c r="E15" s="6" t="n"/>
      <c r="F15" s="7" t="n"/>
      <c r="G15" s="6" t="n"/>
      <c r="H15" s="6" t="n"/>
      <c r="I15" s="6" t="n"/>
      <c r="J15" s="6" t="n"/>
    </row>
    <row r="16">
      <c r="A16" s="5" t="n"/>
      <c r="B16" s="6" t="n"/>
      <c r="C16" s="6" t="n"/>
      <c r="D16" s="6" t="n"/>
      <c r="E16" s="6" t="n"/>
      <c r="F16" s="7" t="n"/>
      <c r="G16" s="6" t="n"/>
      <c r="H16" s="6" t="n"/>
      <c r="I16" s="6" t="n"/>
      <c r="J16" s="6" t="n"/>
    </row>
    <row r="17">
      <c r="A17" s="5" t="n"/>
      <c r="B17" s="6" t="n"/>
      <c r="C17" s="6" t="n"/>
      <c r="D17" s="6" t="n"/>
      <c r="E17" s="6" t="n"/>
      <c r="F17" s="7" t="n"/>
      <c r="G17" s="6" t="n"/>
      <c r="H17" s="6" t="n"/>
      <c r="I17" s="6" t="n"/>
      <c r="J17" s="6" t="n"/>
    </row>
    <row r="18">
      <c r="A18" s="5" t="n"/>
      <c r="B18" s="6" t="n"/>
      <c r="C18" s="6" t="n"/>
      <c r="D18" s="6" t="n"/>
      <c r="E18" s="6" t="n"/>
      <c r="F18" s="7" t="n"/>
      <c r="G18" s="6" t="n"/>
      <c r="H18" s="6" t="n"/>
      <c r="I18" s="6" t="n"/>
      <c r="J18" s="6" t="n"/>
    </row>
    <row r="19">
      <c r="A19" s="5" t="n"/>
      <c r="B19" s="6" t="n"/>
      <c r="C19" s="6" t="n"/>
      <c r="D19" s="6" t="n"/>
      <c r="E19" s="6" t="n"/>
      <c r="F19" s="7" t="n"/>
      <c r="G19" s="6" t="n"/>
      <c r="H19" s="6" t="n"/>
      <c r="I19" s="6" t="n"/>
      <c r="J19" s="6" t="n"/>
    </row>
    <row r="20">
      <c r="A20" s="5" t="n"/>
      <c r="B20" s="6" t="n"/>
      <c r="C20" s="6" t="n"/>
      <c r="D20" s="6" t="n"/>
      <c r="E20" s="6" t="n"/>
      <c r="F20" s="7" t="n"/>
      <c r="G20" s="6" t="n"/>
      <c r="H20" s="6" t="n"/>
      <c r="I20" s="6" t="n"/>
      <c r="J20" s="6" t="n"/>
    </row>
    <row r="21">
      <c r="A21" s="5" t="n"/>
      <c r="B21" s="6" t="n"/>
      <c r="C21" s="6" t="n"/>
      <c r="D21" s="6" t="n"/>
      <c r="E21" s="6" t="n"/>
      <c r="F21" s="7" t="n"/>
      <c r="G21" s="6" t="n"/>
      <c r="H21" s="6" t="n"/>
      <c r="I21" s="6" t="n"/>
      <c r="J21" s="6" t="n"/>
    </row>
    <row r="22">
      <c r="A22" s="5" t="n"/>
      <c r="B22" s="6" t="n"/>
      <c r="C22" s="6" t="n"/>
      <c r="D22" s="6" t="n"/>
      <c r="E22" s="6" t="n"/>
      <c r="F22" s="7" t="n"/>
      <c r="G22" s="6" t="n"/>
      <c r="H22" s="6" t="n"/>
      <c r="I22" s="6" t="n"/>
      <c r="J22" s="6" t="n"/>
    </row>
    <row r="23">
      <c r="A23" s="5" t="n"/>
      <c r="B23" s="6" t="n"/>
      <c r="C23" s="6" t="n"/>
      <c r="D23" s="6" t="n"/>
      <c r="E23" s="6" t="n"/>
      <c r="F23" s="7" t="n"/>
      <c r="G23" s="6" t="n"/>
      <c r="H23" s="6" t="n"/>
      <c r="I23" s="6" t="n"/>
      <c r="J23" s="6" t="n"/>
    </row>
    <row r="24">
      <c r="A24" s="5" t="n"/>
      <c r="B24" s="6" t="n"/>
      <c r="C24" s="6" t="n"/>
      <c r="D24" s="6" t="n"/>
      <c r="E24" s="6" t="n"/>
      <c r="F24" s="7" t="n"/>
      <c r="G24" s="6" t="n"/>
      <c r="H24" s="6" t="n"/>
      <c r="I24" s="6" t="n"/>
      <c r="J24" s="6" t="n"/>
    </row>
    <row r="25">
      <c r="A25" s="5" t="n"/>
      <c r="B25" s="6" t="n"/>
      <c r="C25" s="6" t="n"/>
      <c r="D25" s="6" t="n"/>
      <c r="E25" s="6" t="n"/>
      <c r="F25" s="7" t="n"/>
      <c r="G25" s="6" t="n"/>
      <c r="H25" s="6" t="n"/>
      <c r="I25" s="6" t="n"/>
      <c r="J25" s="6" t="n"/>
    </row>
    <row r="26">
      <c r="A26" s="5" t="n"/>
      <c r="B26" s="6" t="n"/>
      <c r="C26" s="6" t="n"/>
      <c r="D26" s="6" t="n"/>
      <c r="E26" s="6" t="n"/>
      <c r="F26" s="7" t="n"/>
      <c r="G26" s="6" t="n"/>
      <c r="H26" s="6" t="n"/>
      <c r="I26" s="6" t="n"/>
      <c r="J26" s="6" t="n"/>
    </row>
    <row r="27">
      <c r="A27" s="5" t="n"/>
      <c r="B27" s="6" t="n"/>
      <c r="C27" s="6" t="n"/>
      <c r="D27" s="6" t="n"/>
      <c r="E27" s="6" t="n"/>
      <c r="F27" s="7" t="n"/>
      <c r="G27" s="6" t="n"/>
      <c r="H27" s="6" t="n"/>
      <c r="I27" s="6" t="n"/>
      <c r="J27" s="6" t="n"/>
    </row>
    <row r="28">
      <c r="A28" s="5" t="n"/>
      <c r="B28" s="6" t="n"/>
      <c r="C28" s="6" t="n"/>
      <c r="D28" s="6" t="n"/>
      <c r="E28" s="6" t="n"/>
      <c r="F28" s="7" t="n"/>
      <c r="G28" s="6" t="n"/>
      <c r="H28" s="6" t="n"/>
      <c r="I28" s="6" t="n"/>
      <c r="J28" s="6" t="n"/>
    </row>
    <row r="29">
      <c r="A29" s="5" t="n"/>
      <c r="B29" s="6" t="n"/>
      <c r="C29" s="6" t="n"/>
      <c r="D29" s="6" t="n"/>
      <c r="E29" s="6" t="n"/>
      <c r="F29" s="7" t="n"/>
      <c r="G29" s="6" t="n"/>
      <c r="H29" s="6" t="n"/>
      <c r="I29" s="6" t="n"/>
      <c r="J29" s="6" t="n"/>
    </row>
    <row r="30">
      <c r="A30" s="5" t="n"/>
      <c r="B30" s="6" t="n"/>
      <c r="C30" s="6" t="n"/>
      <c r="D30" s="6" t="n"/>
      <c r="E30" s="6" t="n"/>
      <c r="F30" s="7" t="n"/>
      <c r="G30" s="6" t="n"/>
      <c r="H30" s="6" t="n"/>
      <c r="I30" s="6" t="n"/>
      <c r="J30" s="6" t="n"/>
    </row>
    <row r="31">
      <c r="A31" s="5" t="n"/>
      <c r="B31" s="6" t="n"/>
      <c r="C31" s="6" t="n"/>
      <c r="D31" s="6" t="n"/>
      <c r="E31" s="6" t="n"/>
      <c r="F31" s="7" t="n"/>
      <c r="G31" s="6" t="n"/>
      <c r="H31" s="6" t="n"/>
      <c r="I31" s="6" t="n"/>
      <c r="J31" s="6" t="n"/>
    </row>
    <row r="32">
      <c r="A32" s="5" t="n"/>
      <c r="B32" s="6" t="n"/>
      <c r="C32" s="6" t="n"/>
      <c r="D32" s="6" t="n"/>
      <c r="E32" s="6" t="n"/>
      <c r="F32" s="7" t="n"/>
      <c r="G32" s="6" t="n"/>
      <c r="H32" s="6" t="n"/>
      <c r="I32" s="6" t="n"/>
      <c r="J32" s="6" t="n"/>
    </row>
    <row r="33">
      <c r="A33" s="5" t="n"/>
      <c r="B33" s="6" t="n"/>
      <c r="C33" s="6" t="n"/>
      <c r="D33" s="6" t="n"/>
      <c r="E33" s="6" t="n"/>
      <c r="F33" s="7" t="n"/>
      <c r="G33" s="6" t="n"/>
      <c r="H33" s="6" t="n"/>
      <c r="I33" s="6" t="n"/>
      <c r="J33" s="6" t="n"/>
    </row>
    <row r="34">
      <c r="A34" s="5" t="n"/>
      <c r="B34" s="6" t="n"/>
      <c r="C34" s="6" t="n"/>
      <c r="D34" s="6" t="n"/>
      <c r="E34" s="6" t="n"/>
      <c r="F34" s="7" t="n"/>
      <c r="G34" s="6" t="n"/>
      <c r="H34" s="6" t="n"/>
      <c r="I34" s="6" t="n"/>
      <c r="J34" s="6" t="n"/>
    </row>
    <row r="35">
      <c r="A35" s="5" t="n"/>
      <c r="B35" s="6" t="n"/>
      <c r="C35" s="6" t="n"/>
      <c r="D35" s="6" t="n"/>
      <c r="E35" s="6" t="n"/>
      <c r="F35" s="7" t="n"/>
      <c r="G35" s="6" t="n"/>
      <c r="H35" s="6" t="n"/>
      <c r="I35" s="6" t="n"/>
      <c r="J35" s="6" t="n"/>
    </row>
    <row r="36">
      <c r="A36" s="5" t="n"/>
      <c r="B36" s="6" t="n"/>
      <c r="C36" s="6" t="n"/>
      <c r="D36" s="6" t="n"/>
      <c r="E36" s="6" t="n"/>
      <c r="F36" s="7" t="n"/>
      <c r="G36" s="6" t="n"/>
      <c r="H36" s="6" t="n"/>
      <c r="I36" s="6" t="n"/>
      <c r="J36" s="6" t="n"/>
    </row>
    <row r="37">
      <c r="A37" s="5" t="n"/>
      <c r="B37" s="6" t="n"/>
      <c r="C37" s="6" t="n"/>
      <c r="D37" s="6" t="n"/>
      <c r="E37" s="6" t="n"/>
      <c r="F37" s="7" t="n"/>
      <c r="G37" s="6" t="n"/>
      <c r="H37" s="6" t="n"/>
      <c r="I37" s="6" t="n"/>
      <c r="J37" s="6" t="n"/>
    </row>
    <row r="38">
      <c r="A38" s="5" t="n"/>
      <c r="B38" s="6" t="n"/>
      <c r="C38" s="6" t="n"/>
      <c r="D38" s="6" t="n"/>
      <c r="E38" s="6" t="n"/>
      <c r="F38" s="7" t="n"/>
      <c r="G38" s="6" t="n"/>
      <c r="H38" s="6" t="n"/>
      <c r="I38" s="6" t="n"/>
      <c r="J38" s="6" t="n"/>
    </row>
    <row r="39">
      <c r="A39" s="5" t="n"/>
      <c r="B39" s="6" t="n"/>
      <c r="C39" s="6" t="n"/>
      <c r="D39" s="6" t="n"/>
      <c r="E39" s="6" t="n"/>
      <c r="F39" s="7" t="n"/>
      <c r="G39" s="6" t="n"/>
      <c r="H39" s="6" t="n"/>
      <c r="I39" s="6" t="n"/>
      <c r="J39" s="6" t="n"/>
    </row>
    <row r="40">
      <c r="A40" s="5" t="n"/>
      <c r="B40" s="6" t="n"/>
      <c r="C40" s="6" t="n"/>
      <c r="D40" s="6" t="n"/>
      <c r="E40" s="6" t="n"/>
      <c r="F40" s="7" t="n"/>
      <c r="G40" s="6" t="n"/>
      <c r="H40" s="6" t="n"/>
      <c r="I40" s="6" t="n"/>
      <c r="J40" s="6" t="n"/>
    </row>
    <row r="41">
      <c r="A41" s="5" t="n"/>
      <c r="B41" s="6" t="n"/>
      <c r="C41" s="6" t="n"/>
      <c r="D41" s="6" t="n"/>
      <c r="E41" s="6" t="n"/>
      <c r="F41" s="7" t="n"/>
      <c r="G41" s="6" t="n"/>
      <c r="H41" s="6" t="n"/>
      <c r="I41" s="6" t="n"/>
      <c r="J41" s="6" t="n"/>
    </row>
    <row r="42">
      <c r="A42" s="5" t="n"/>
      <c r="B42" s="6" t="n"/>
      <c r="C42" s="6" t="n"/>
      <c r="D42" s="6" t="n"/>
      <c r="E42" s="6" t="n"/>
      <c r="F42" s="7" t="n"/>
      <c r="G42" s="6" t="n"/>
      <c r="H42" s="6" t="n"/>
      <c r="I42" s="6" t="n"/>
      <c r="J42" s="6" t="n"/>
    </row>
    <row r="43">
      <c r="A43" s="5" t="n"/>
      <c r="B43" s="6" t="n"/>
      <c r="C43" s="6" t="n"/>
      <c r="D43" s="6" t="n"/>
      <c r="E43" s="6" t="n"/>
      <c r="F43" s="7" t="n"/>
      <c r="G43" s="6" t="n"/>
      <c r="H43" s="6" t="n"/>
      <c r="I43" s="6" t="n"/>
      <c r="J43" s="6" t="n"/>
    </row>
    <row r="44">
      <c r="A44" s="5" t="n"/>
      <c r="B44" s="6" t="n"/>
      <c r="C44" s="6" t="n"/>
      <c r="D44" s="6" t="n"/>
      <c r="E44" s="6" t="n"/>
      <c r="F44" s="7" t="n"/>
      <c r="G44" s="6" t="n"/>
      <c r="H44" s="6" t="n"/>
      <c r="I44" s="6" t="n"/>
      <c r="J44" s="6" t="n"/>
    </row>
    <row r="45">
      <c r="A45" s="5" t="n"/>
      <c r="B45" s="6" t="n"/>
      <c r="C45" s="6" t="n"/>
      <c r="D45" s="6" t="n"/>
      <c r="E45" s="6" t="n"/>
      <c r="F45" s="7" t="n"/>
      <c r="G45" s="6" t="n"/>
      <c r="H45" s="6" t="n"/>
      <c r="I45" s="6" t="n"/>
      <c r="J45" s="6" t="n"/>
    </row>
    <row r="46">
      <c r="A46" s="5" t="n"/>
      <c r="B46" s="6" t="n"/>
      <c r="C46" s="6" t="n"/>
      <c r="D46" s="6" t="n"/>
      <c r="E46" s="6" t="n"/>
      <c r="F46" s="7" t="n"/>
      <c r="G46" s="6" t="n"/>
      <c r="H46" s="6" t="n"/>
      <c r="I46" s="6" t="n"/>
      <c r="J46" s="6" t="n"/>
    </row>
    <row r="47">
      <c r="A47" s="5" t="n"/>
      <c r="B47" s="6" t="n"/>
      <c r="C47" s="6" t="n"/>
      <c r="D47" s="6" t="n"/>
      <c r="E47" s="6" t="n"/>
      <c r="F47" s="7" t="n"/>
      <c r="G47" s="6" t="n"/>
      <c r="H47" s="6" t="n"/>
      <c r="I47" s="6" t="n"/>
      <c r="J47" s="6" t="n"/>
    </row>
    <row r="48">
      <c r="A48" s="5" t="n"/>
      <c r="B48" s="6" t="n"/>
      <c r="C48" s="6" t="n"/>
      <c r="D48" s="6" t="n"/>
      <c r="E48" s="6" t="n"/>
      <c r="F48" s="7" t="n"/>
      <c r="G48" s="6" t="n"/>
      <c r="H48" s="6" t="n"/>
      <c r="I48" s="6" t="n"/>
      <c r="J48" s="6" t="n"/>
    </row>
    <row r="49">
      <c r="A49" s="5" t="n"/>
      <c r="B49" s="6" t="n"/>
      <c r="C49" s="6" t="n"/>
      <c r="D49" s="6" t="n"/>
      <c r="E49" s="6" t="n"/>
      <c r="F49" s="7" t="n"/>
      <c r="G49" s="6" t="n"/>
      <c r="H49" s="6" t="n"/>
      <c r="I49" s="6" t="n"/>
      <c r="J49" s="6" t="n"/>
    </row>
    <row r="50">
      <c r="A50" s="5" t="n"/>
      <c r="B50" s="6" t="n"/>
      <c r="C50" s="6" t="n"/>
      <c r="D50" s="6" t="n"/>
      <c r="E50" s="6" t="n"/>
      <c r="F50" s="7" t="n"/>
      <c r="G50" s="6" t="n"/>
      <c r="H50" s="6" t="n"/>
      <c r="I50" s="6" t="n"/>
      <c r="J50" s="6" t="n"/>
    </row>
    <row r="51">
      <c r="A51" s="5" t="n"/>
      <c r="B51" s="6" t="n"/>
      <c r="C51" s="6" t="n"/>
      <c r="D51" s="6" t="n"/>
      <c r="E51" s="6" t="n"/>
      <c r="F51" s="7" t="n"/>
      <c r="G51" s="6" t="n"/>
      <c r="H51" s="6" t="n"/>
      <c r="I51" s="6" t="n"/>
      <c r="J51" s="6" t="n"/>
    </row>
    <row r="52">
      <c r="A52" s="5" t="n"/>
      <c r="B52" s="6" t="n"/>
      <c r="C52" s="6" t="n"/>
      <c r="D52" s="6" t="n"/>
      <c r="E52" s="6" t="n"/>
      <c r="F52" s="7" t="n"/>
      <c r="G52" s="6" t="n"/>
      <c r="H52" s="6" t="n"/>
      <c r="I52" s="6" t="n"/>
      <c r="J52" s="6" t="n"/>
    </row>
    <row r="53">
      <c r="A53" s="5" t="n"/>
      <c r="B53" s="6" t="n"/>
      <c r="C53" s="6" t="n"/>
      <c r="D53" s="6" t="n"/>
      <c r="E53" s="6" t="n"/>
      <c r="F53" s="7" t="n"/>
      <c r="G53" s="6" t="n"/>
      <c r="H53" s="6" t="n"/>
      <c r="I53" s="6" t="n"/>
      <c r="J53" s="6" t="n"/>
    </row>
    <row r="54">
      <c r="A54" s="5" t="n"/>
      <c r="B54" s="6" t="n"/>
      <c r="C54" s="6" t="n"/>
      <c r="D54" s="6" t="n"/>
      <c r="E54" s="6" t="n"/>
      <c r="F54" s="7" t="n"/>
      <c r="G54" s="6" t="n"/>
      <c r="H54" s="6" t="n"/>
      <c r="I54" s="6" t="n"/>
      <c r="J54" s="6" t="n"/>
    </row>
    <row r="55">
      <c r="A55" s="5" t="n"/>
      <c r="B55" s="6" t="n"/>
      <c r="C55" s="6" t="n"/>
      <c r="D55" s="6" t="n"/>
      <c r="E55" s="6" t="n"/>
      <c r="F55" s="7" t="n"/>
      <c r="G55" s="6" t="n"/>
      <c r="H55" s="6" t="n"/>
      <c r="I55" s="6" t="n"/>
      <c r="J55" s="6" t="n"/>
    </row>
    <row r="56">
      <c r="A56" s="5" t="n"/>
      <c r="B56" s="6" t="n"/>
      <c r="C56" s="6" t="n"/>
      <c r="D56" s="6" t="n"/>
      <c r="E56" s="6" t="n"/>
      <c r="F56" s="7" t="n"/>
      <c r="G56" s="6" t="n"/>
      <c r="H56" s="6" t="n"/>
      <c r="I56" s="6" t="n"/>
      <c r="J56" s="6" t="n"/>
    </row>
    <row r="57">
      <c r="A57" s="5" t="n"/>
      <c r="B57" s="6" t="n"/>
      <c r="C57" s="6" t="n"/>
      <c r="D57" s="6" t="n"/>
      <c r="E57" s="6" t="n"/>
      <c r="F57" s="7" t="n"/>
      <c r="G57" s="6" t="n"/>
      <c r="H57" s="6" t="n"/>
      <c r="I57" s="6" t="n"/>
      <c r="J57" s="6" t="n"/>
    </row>
    <row r="58">
      <c r="A58" s="5" t="n"/>
      <c r="B58" s="6" t="n"/>
      <c r="C58" s="6" t="n"/>
      <c r="D58" s="6" t="n"/>
      <c r="E58" s="6" t="n"/>
      <c r="F58" s="7" t="n"/>
      <c r="G58" s="6" t="n"/>
      <c r="H58" s="6" t="n"/>
      <c r="I58" s="6" t="n"/>
      <c r="J58" s="6" t="n"/>
    </row>
    <row r="59">
      <c r="A59" s="5" t="n"/>
      <c r="B59" s="6" t="n"/>
      <c r="C59" s="6" t="n"/>
      <c r="D59" s="6" t="n"/>
      <c r="E59" s="6" t="n"/>
      <c r="F59" s="7" t="n"/>
      <c r="G59" s="6" t="n"/>
      <c r="H59" s="6" t="n"/>
      <c r="I59" s="6" t="n"/>
      <c r="J59" s="6" t="n"/>
    </row>
    <row r="60">
      <c r="A60" s="5" t="n"/>
      <c r="B60" s="6" t="n"/>
      <c r="C60" s="6" t="n"/>
      <c r="D60" s="6" t="n"/>
      <c r="E60" s="6" t="n"/>
      <c r="F60" s="7" t="n"/>
      <c r="G60" s="6" t="n"/>
      <c r="H60" s="6" t="n"/>
      <c r="I60" s="6" t="n"/>
      <c r="J60" s="6" t="n"/>
    </row>
    <row r="61">
      <c r="A61" s="5" t="n"/>
      <c r="B61" s="6" t="n"/>
      <c r="C61" s="6" t="n"/>
      <c r="D61" s="6" t="n"/>
      <c r="E61" s="6" t="n"/>
      <c r="F61" s="7" t="n"/>
      <c r="G61" s="6" t="n"/>
      <c r="H61" s="6" t="n"/>
      <c r="I61" s="6" t="n"/>
      <c r="J61" s="6" t="n"/>
    </row>
    <row r="62">
      <c r="A62" s="5" t="n"/>
      <c r="B62" s="6" t="n"/>
      <c r="C62" s="6" t="n"/>
      <c r="D62" s="6" t="n"/>
      <c r="E62" s="6" t="n"/>
      <c r="F62" s="7" t="n"/>
      <c r="G62" s="6" t="n"/>
      <c r="H62" s="6" t="n"/>
      <c r="I62" s="6" t="n"/>
      <c r="J62" s="6" t="n"/>
    </row>
    <row r="63">
      <c r="A63" s="5" t="n"/>
      <c r="B63" s="6" t="n"/>
      <c r="C63" s="6" t="n"/>
      <c r="D63" s="6" t="n"/>
      <c r="E63" s="6" t="n"/>
      <c r="F63" s="7" t="n"/>
      <c r="G63" s="6" t="n"/>
      <c r="H63" s="6" t="n"/>
      <c r="I63" s="6" t="n"/>
      <c r="J63" s="6" t="n"/>
    </row>
    <row r="64">
      <c r="A64" s="5" t="n"/>
      <c r="B64" s="6" t="n"/>
      <c r="C64" s="6" t="n"/>
      <c r="D64" s="6" t="n"/>
      <c r="E64" s="6" t="n"/>
      <c r="F64" s="7" t="n"/>
      <c r="G64" s="6" t="n"/>
      <c r="H64" s="6" t="n"/>
      <c r="I64" s="6" t="n"/>
      <c r="J64" s="6" t="n"/>
    </row>
    <row r="65">
      <c r="A65" s="5" t="n"/>
      <c r="B65" s="6" t="n"/>
      <c r="C65" s="6" t="n"/>
      <c r="D65" s="6" t="n"/>
      <c r="E65" s="6" t="n"/>
      <c r="F65" s="7" t="n"/>
      <c r="G65" s="6" t="n"/>
      <c r="H65" s="6" t="n"/>
      <c r="I65" s="6" t="n"/>
      <c r="J65" s="6" t="n"/>
    </row>
    <row r="66">
      <c r="A66" s="5" t="n"/>
      <c r="B66" s="6" t="n"/>
      <c r="C66" s="6" t="n"/>
      <c r="D66" s="6" t="n"/>
      <c r="E66" s="6" t="n"/>
      <c r="F66" s="7" t="n"/>
      <c r="G66" s="6" t="n"/>
      <c r="H66" s="6" t="n"/>
      <c r="I66" s="6" t="n"/>
      <c r="J66" s="6" t="n"/>
    </row>
    <row r="67">
      <c r="A67" s="5" t="n"/>
      <c r="B67" s="6" t="n"/>
      <c r="C67" s="6" t="n"/>
      <c r="D67" s="6" t="n"/>
      <c r="E67" s="6" t="n"/>
      <c r="F67" s="7" t="n"/>
      <c r="G67" s="6" t="n"/>
      <c r="H67" s="6" t="n"/>
      <c r="I67" s="6" t="n"/>
      <c r="J67" s="6" t="n"/>
    </row>
    <row r="68">
      <c r="A68" s="5" t="n"/>
      <c r="B68" s="6" t="n"/>
      <c r="C68" s="6" t="n"/>
      <c r="D68" s="6" t="n"/>
      <c r="E68" s="6" t="n"/>
      <c r="F68" s="7" t="n"/>
      <c r="G68" s="6" t="n"/>
      <c r="H68" s="6" t="n"/>
      <c r="I68" s="6" t="n"/>
      <c r="J68" s="6" t="n"/>
    </row>
    <row r="69">
      <c r="A69" s="5" t="n"/>
      <c r="B69" s="6" t="n"/>
      <c r="C69" s="6" t="n"/>
      <c r="D69" s="6" t="n"/>
      <c r="E69" s="6" t="n"/>
      <c r="F69" s="7" t="n"/>
      <c r="G69" s="6" t="n"/>
      <c r="H69" s="6" t="n"/>
      <c r="I69" s="6" t="n"/>
      <c r="J69" s="6" t="n"/>
    </row>
    <row r="70">
      <c r="A70" s="5" t="n"/>
      <c r="B70" s="6" t="n"/>
      <c r="C70" s="6" t="n"/>
      <c r="D70" s="6" t="n"/>
      <c r="E70" s="6" t="n"/>
      <c r="F70" s="7" t="n"/>
      <c r="G70" s="6" t="n"/>
      <c r="H70" s="6" t="n"/>
      <c r="I70" s="6" t="n"/>
      <c r="J70" s="6" t="n"/>
    </row>
    <row r="71">
      <c r="A71" s="5" t="n"/>
      <c r="B71" s="6" t="n"/>
      <c r="C71" s="6" t="n"/>
      <c r="D71" s="6" t="n"/>
      <c r="E71" s="6" t="n"/>
      <c r="F71" s="7" t="n"/>
      <c r="G71" s="6" t="n"/>
      <c r="H71" s="6" t="n"/>
      <c r="I71" s="6" t="n"/>
      <c r="J71" s="6" t="n"/>
    </row>
    <row r="72">
      <c r="A72" s="5" t="n"/>
      <c r="B72" s="6" t="n"/>
      <c r="C72" s="6" t="n"/>
      <c r="D72" s="6" t="n"/>
      <c r="E72" s="6" t="n"/>
      <c r="F72" s="7" t="n"/>
      <c r="G72" s="6" t="n"/>
      <c r="H72" s="6" t="n"/>
      <c r="I72" s="6" t="n"/>
      <c r="J72" s="6" t="n"/>
    </row>
    <row r="73">
      <c r="A73" s="5" t="n"/>
      <c r="B73" s="6" t="n"/>
      <c r="C73" s="6" t="n"/>
      <c r="D73" s="6" t="n"/>
      <c r="E73" s="6" t="n"/>
      <c r="F73" s="7" t="n"/>
      <c r="G73" s="6" t="n"/>
      <c r="H73" s="6" t="n"/>
      <c r="I73" s="6" t="n"/>
      <c r="J73" s="6" t="n"/>
    </row>
    <row r="74">
      <c r="A74" s="5" t="n"/>
      <c r="B74" s="6" t="n"/>
      <c r="C74" s="6" t="n"/>
      <c r="D74" s="6" t="n"/>
      <c r="E74" s="6" t="n"/>
      <c r="F74" s="7" t="n"/>
      <c r="G74" s="6" t="n"/>
      <c r="H74" s="6" t="n"/>
      <c r="I74" s="6" t="n"/>
      <c r="J74" s="6" t="n"/>
    </row>
    <row r="75">
      <c r="A75" s="5" t="n"/>
      <c r="B75" s="6" t="n"/>
      <c r="C75" s="6" t="n"/>
      <c r="D75" s="6" t="n"/>
      <c r="E75" s="6" t="n"/>
      <c r="F75" s="7" t="n"/>
      <c r="G75" s="6" t="n"/>
      <c r="H75" s="6" t="n"/>
      <c r="I75" s="6" t="n"/>
      <c r="J75" s="6" t="n"/>
    </row>
    <row r="76">
      <c r="A76" s="5" t="n"/>
      <c r="B76" s="6" t="n"/>
      <c r="C76" s="6" t="n"/>
      <c r="D76" s="6" t="n"/>
      <c r="E76" s="6" t="n"/>
      <c r="F76" s="7" t="n"/>
      <c r="G76" s="6" t="n"/>
      <c r="H76" s="6" t="n"/>
      <c r="I76" s="6" t="n"/>
      <c r="J76" s="6" t="n"/>
    </row>
    <row r="77">
      <c r="A77" s="5" t="n"/>
      <c r="B77" s="6" t="n"/>
      <c r="C77" s="6" t="n"/>
      <c r="D77" s="6" t="n"/>
      <c r="E77" s="6" t="n"/>
      <c r="F77" s="7" t="n"/>
      <c r="G77" s="6" t="n"/>
      <c r="H77" s="6" t="n"/>
      <c r="I77" s="6" t="n"/>
      <c r="J77" s="6" t="n"/>
    </row>
    <row r="78">
      <c r="A78" s="5" t="n"/>
      <c r="B78" s="6" t="n"/>
      <c r="C78" s="6" t="n"/>
      <c r="D78" s="6" t="n"/>
      <c r="E78" s="6" t="n"/>
      <c r="F78" s="7" t="n"/>
      <c r="G78" s="6" t="n"/>
      <c r="H78" s="6" t="n"/>
      <c r="I78" s="6" t="n"/>
      <c r="J78" s="6" t="n"/>
    </row>
    <row r="79">
      <c r="A79" s="5" t="n"/>
      <c r="B79" s="6" t="n"/>
      <c r="C79" s="6" t="n"/>
      <c r="D79" s="6" t="n"/>
      <c r="E79" s="6" t="n"/>
      <c r="F79" s="7" t="n"/>
      <c r="G79" s="6" t="n"/>
      <c r="H79" s="6" t="n"/>
      <c r="I79" s="6" t="n"/>
      <c r="J79" s="6" t="n"/>
    </row>
    <row r="80">
      <c r="A80" s="5" t="n"/>
      <c r="B80" s="6" t="n"/>
      <c r="C80" s="6" t="n"/>
      <c r="D80" s="6" t="n"/>
      <c r="E80" s="6" t="n"/>
      <c r="F80" s="7" t="n"/>
      <c r="G80" s="6" t="n"/>
      <c r="H80" s="6" t="n"/>
      <c r="I80" s="6" t="n"/>
      <c r="J80" s="6" t="n"/>
    </row>
    <row r="81">
      <c r="A81" s="5" t="n"/>
      <c r="B81" s="6" t="n"/>
      <c r="C81" s="6" t="n"/>
      <c r="D81" s="6" t="n"/>
      <c r="E81" s="6" t="n"/>
      <c r="F81" s="7" t="n"/>
      <c r="G81" s="6" t="n"/>
      <c r="H81" s="6" t="n"/>
      <c r="I81" s="6" t="n"/>
      <c r="J81" s="6" t="n"/>
    </row>
    <row r="82">
      <c r="A82" s="5" t="n"/>
      <c r="B82" s="6" t="n"/>
      <c r="C82" s="6" t="n"/>
      <c r="D82" s="6" t="n"/>
      <c r="E82" s="6" t="n"/>
      <c r="F82" s="7" t="n"/>
      <c r="G82" s="6" t="n"/>
      <c r="H82" s="6" t="n"/>
      <c r="I82" s="6" t="n"/>
      <c r="J82" s="6" t="n"/>
    </row>
    <row r="83">
      <c r="A83" s="5" t="n"/>
      <c r="B83" s="6" t="n"/>
      <c r="C83" s="6" t="n"/>
      <c r="D83" s="6" t="n"/>
      <c r="E83" s="6" t="n"/>
      <c r="F83" s="7" t="n"/>
      <c r="G83" s="6" t="n"/>
      <c r="H83" s="6" t="n"/>
      <c r="I83" s="6" t="n"/>
      <c r="J83" s="6" t="n"/>
    </row>
    <row r="84">
      <c r="A84" s="5" t="n"/>
      <c r="B84" s="6" t="n"/>
      <c r="C84" s="6" t="n"/>
      <c r="D84" s="6" t="n"/>
      <c r="E84" s="6" t="n"/>
      <c r="F84" s="7" t="n"/>
      <c r="G84" s="6" t="n"/>
      <c r="H84" s="6" t="n"/>
      <c r="I84" s="6" t="n"/>
      <c r="J84" s="6" t="n"/>
    </row>
    <row r="85">
      <c r="A85" s="5" t="n"/>
      <c r="B85" s="6" t="n"/>
      <c r="C85" s="6" t="n"/>
      <c r="D85" s="6" t="n"/>
      <c r="E85" s="6" t="n"/>
      <c r="F85" s="7" t="n"/>
      <c r="G85" s="6" t="n"/>
      <c r="H85" s="6" t="n"/>
      <c r="I85" s="6" t="n"/>
      <c r="J85" s="6" t="n"/>
    </row>
    <row r="86">
      <c r="A86" s="5" t="n"/>
      <c r="B86" s="6" t="n"/>
      <c r="C86" s="6" t="n"/>
      <c r="D86" s="6" t="n"/>
      <c r="E86" s="6" t="n"/>
      <c r="F86" s="7" t="n"/>
      <c r="G86" s="6" t="n"/>
      <c r="H86" s="6" t="n"/>
      <c r="I86" s="6" t="n"/>
      <c r="J86" s="6" t="n"/>
    </row>
    <row r="87">
      <c r="A87" s="5" t="n"/>
      <c r="B87" s="6" t="n"/>
      <c r="C87" s="6" t="n"/>
      <c r="D87" s="6" t="n"/>
      <c r="E87" s="6" t="n"/>
      <c r="F87" s="7" t="n"/>
      <c r="G87" s="6" t="n"/>
      <c r="H87" s="6" t="n"/>
      <c r="I87" s="6" t="n"/>
      <c r="J87" s="6" t="n"/>
    </row>
    <row r="88">
      <c r="A88" s="5" t="n"/>
      <c r="B88" s="6" t="n"/>
      <c r="C88" s="6" t="n"/>
      <c r="D88" s="6" t="n"/>
      <c r="E88" s="6" t="n"/>
      <c r="F88" s="7" t="n"/>
      <c r="G88" s="6" t="n"/>
      <c r="H88" s="6" t="n"/>
      <c r="I88" s="6" t="n"/>
      <c r="J88" s="6" t="n"/>
    </row>
    <row r="89">
      <c r="A89" s="5" t="n"/>
      <c r="B89" s="6" t="n"/>
      <c r="C89" s="6" t="n"/>
      <c r="D89" s="6" t="n"/>
      <c r="E89" s="6" t="n"/>
      <c r="F89" s="7" t="n"/>
      <c r="G89" s="6" t="n"/>
      <c r="H89" s="6" t="n"/>
      <c r="I89" s="6" t="n"/>
      <c r="J89" s="6" t="n"/>
    </row>
    <row r="90">
      <c r="A90" s="5" t="n"/>
      <c r="B90" s="6" t="n"/>
      <c r="C90" s="6" t="n"/>
      <c r="D90" s="6" t="n"/>
      <c r="E90" s="6" t="n"/>
      <c r="F90" s="7" t="n"/>
      <c r="G90" s="6" t="n"/>
      <c r="H90" s="6" t="n"/>
      <c r="I90" s="6" t="n"/>
      <c r="J90" s="6" t="n"/>
    </row>
    <row r="91">
      <c r="A91" s="5" t="n"/>
      <c r="B91" s="6" t="n"/>
      <c r="C91" s="6" t="n"/>
      <c r="D91" s="6" t="n"/>
      <c r="E91" s="6" t="n"/>
      <c r="F91" s="7" t="n"/>
      <c r="G91" s="6" t="n"/>
      <c r="H91" s="6" t="n"/>
      <c r="I91" s="6" t="n"/>
      <c r="J91" s="6" t="n"/>
    </row>
    <row r="92">
      <c r="A92" s="5" t="n"/>
      <c r="B92" s="6" t="n"/>
      <c r="C92" s="6" t="n"/>
      <c r="D92" s="6" t="n"/>
      <c r="E92" s="6" t="n"/>
      <c r="F92" s="7" t="n"/>
      <c r="G92" s="6" t="n"/>
      <c r="H92" s="6" t="n"/>
      <c r="I92" s="6" t="n"/>
      <c r="J92" s="6" t="n"/>
    </row>
    <row r="93">
      <c r="A93" s="5" t="n"/>
      <c r="B93" s="6" t="n"/>
      <c r="C93" s="6" t="n"/>
      <c r="D93" s="6" t="n"/>
      <c r="E93" s="6" t="n"/>
      <c r="F93" s="7" t="n"/>
      <c r="G93" s="6" t="n"/>
      <c r="H93" s="6" t="n"/>
      <c r="I93" s="6" t="n"/>
      <c r="J93" s="6" t="n"/>
    </row>
    <row r="94">
      <c r="A94" s="5" t="n"/>
      <c r="B94" s="6" t="n"/>
      <c r="C94" s="6" t="n"/>
      <c r="D94" s="6" t="n"/>
      <c r="E94" s="6" t="n"/>
      <c r="F94" s="7" t="n"/>
      <c r="G94" s="6" t="n"/>
      <c r="H94" s="6" t="n"/>
      <c r="I94" s="6" t="n"/>
      <c r="J94" s="6" t="n"/>
    </row>
    <row r="95">
      <c r="A95" s="5" t="n"/>
      <c r="B95" s="6" t="n"/>
      <c r="C95" s="6" t="n"/>
      <c r="D95" s="6" t="n"/>
      <c r="E95" s="6" t="n"/>
      <c r="F95" s="7" t="n"/>
      <c r="G95" s="6" t="n"/>
      <c r="H95" s="6" t="n"/>
      <c r="I95" s="6" t="n"/>
      <c r="J95" s="6" t="n"/>
    </row>
    <row r="96">
      <c r="A96" s="5" t="n"/>
      <c r="B96" s="6" t="n"/>
      <c r="C96" s="6" t="n"/>
      <c r="D96" s="6" t="n"/>
      <c r="E96" s="6" t="n"/>
      <c r="F96" s="7" t="n"/>
      <c r="G96" s="6" t="n"/>
      <c r="H96" s="6" t="n"/>
      <c r="I96" s="6" t="n"/>
      <c r="J96" s="6" t="n"/>
    </row>
    <row r="97">
      <c r="A97" s="5" t="n"/>
      <c r="B97" s="6" t="n"/>
      <c r="C97" s="6" t="n"/>
      <c r="D97" s="6" t="n"/>
      <c r="E97" s="6" t="n"/>
      <c r="F97" s="7" t="n"/>
      <c r="G97" s="6" t="n"/>
      <c r="H97" s="6" t="n"/>
      <c r="I97" s="6" t="n"/>
      <c r="J97" s="6" t="n"/>
    </row>
    <row r="98">
      <c r="A98" s="5" t="n"/>
      <c r="B98" s="6" t="n"/>
      <c r="C98" s="6" t="n"/>
      <c r="D98" s="6" t="n"/>
      <c r="E98" s="6" t="n"/>
      <c r="F98" s="7" t="n"/>
      <c r="G98" s="6" t="n"/>
      <c r="H98" s="6" t="n"/>
      <c r="I98" s="6" t="n"/>
      <c r="J98" s="6" t="n"/>
    </row>
    <row r="99">
      <c r="A99" s="5" t="n"/>
      <c r="B99" s="6" t="n"/>
      <c r="C99" s="6" t="n"/>
      <c r="D99" s="6" t="n"/>
      <c r="E99" s="6" t="n"/>
      <c r="F99" s="7" t="n"/>
      <c r="G99" s="6" t="n"/>
      <c r="H99" s="6" t="n"/>
      <c r="I99" s="6" t="n"/>
      <c r="J99" s="6" t="n"/>
    </row>
    <row r="100">
      <c r="A100" s="5" t="n"/>
      <c r="B100" s="6" t="n"/>
      <c r="C100" s="6" t="n"/>
      <c r="D100" s="6" t="n"/>
      <c r="E100" s="6" t="n"/>
      <c r="F100" s="7" t="n"/>
      <c r="G100" s="6" t="n"/>
      <c r="H100" s="6" t="n"/>
      <c r="I100" s="6" t="n"/>
      <c r="J100" s="6" t="n"/>
    </row>
    <row r="101">
      <c r="A101" s="5" t="n"/>
      <c r="B101" s="6" t="n"/>
      <c r="C101" s="6" t="n"/>
      <c r="D101" s="6" t="n"/>
      <c r="E101" s="6" t="n"/>
      <c r="F101" s="7" t="n"/>
      <c r="G101" s="6" t="n"/>
      <c r="H101" s="6" t="n"/>
      <c r="I101" s="6" t="n"/>
      <c r="J101" s="6" t="n"/>
    </row>
    <row r="102">
      <c r="A102" s="5" t="n"/>
      <c r="B102" s="6" t="n"/>
      <c r="C102" s="6" t="n"/>
      <c r="D102" s="6" t="n"/>
      <c r="E102" s="6" t="n"/>
      <c r="F102" s="7" t="n"/>
      <c r="G102" s="6" t="n"/>
      <c r="H102" s="6" t="n"/>
      <c r="I102" s="6" t="n"/>
      <c r="J102" s="6" t="n"/>
    </row>
    <row r="103">
      <c r="A103" s="5" t="n"/>
      <c r="B103" s="6" t="n"/>
      <c r="C103" s="6" t="n"/>
      <c r="D103" s="6" t="n"/>
      <c r="E103" s="6" t="n"/>
      <c r="F103" s="7" t="n"/>
      <c r="G103" s="6" t="n"/>
      <c r="H103" s="6" t="n"/>
      <c r="I103" s="6" t="n"/>
      <c r="J103" s="6" t="n"/>
    </row>
    <row r="104">
      <c r="A104" s="5" t="n"/>
      <c r="B104" s="6" t="n"/>
      <c r="C104" s="6" t="n"/>
      <c r="D104" s="6" t="n"/>
      <c r="E104" s="6" t="n"/>
      <c r="F104" s="7" t="n"/>
      <c r="G104" s="6" t="n"/>
      <c r="H104" s="6" t="n"/>
      <c r="I104" s="6" t="n"/>
      <c r="J104" s="6" t="n"/>
    </row>
    <row r="105">
      <c r="A105" s="5" t="n"/>
      <c r="B105" s="6" t="n"/>
      <c r="C105" s="6" t="n"/>
      <c r="D105" s="6" t="n"/>
      <c r="E105" s="6" t="n"/>
      <c r="F105" s="7" t="n"/>
      <c r="G105" s="6" t="n"/>
      <c r="H105" s="6" t="n"/>
      <c r="I105" s="6" t="n"/>
      <c r="J105" s="6" t="n"/>
    </row>
    <row r="106">
      <c r="A106" s="5" t="n"/>
      <c r="B106" s="6" t="n"/>
      <c r="C106" s="6" t="n"/>
      <c r="D106" s="6" t="n"/>
      <c r="E106" s="6" t="n"/>
      <c r="F106" s="7" t="n"/>
      <c r="G106" s="6" t="n"/>
      <c r="H106" s="6" t="n"/>
      <c r="I106" s="6" t="n"/>
      <c r="J106" s="6" t="n"/>
    </row>
    <row r="107">
      <c r="A107" s="5" t="n"/>
      <c r="B107" s="6" t="n"/>
      <c r="C107" s="6" t="n"/>
      <c r="D107" s="6" t="n"/>
      <c r="E107" s="6" t="n"/>
      <c r="F107" s="7" t="n"/>
      <c r="G107" s="6" t="n"/>
      <c r="H107" s="6" t="n"/>
      <c r="I107" s="6" t="n"/>
      <c r="J107" s="6" t="n"/>
    </row>
    <row r="108">
      <c r="A108" s="5" t="n"/>
      <c r="B108" s="6" t="n"/>
      <c r="C108" s="6" t="n"/>
      <c r="D108" s="6" t="n"/>
      <c r="E108" s="6" t="n"/>
      <c r="F108" s="7" t="n"/>
      <c r="G108" s="6" t="n"/>
      <c r="H108" s="6" t="n"/>
      <c r="I108" s="6" t="n"/>
      <c r="J108" s="6" t="n"/>
    </row>
    <row r="109">
      <c r="A109" s="5" t="n"/>
      <c r="B109" s="6" t="n"/>
      <c r="C109" s="6" t="n"/>
      <c r="D109" s="6" t="n"/>
      <c r="E109" s="6" t="n"/>
      <c r="F109" s="7" t="n"/>
      <c r="G109" s="6" t="n"/>
      <c r="H109" s="6" t="n"/>
      <c r="I109" s="6" t="n"/>
      <c r="J109" s="6" t="n"/>
    </row>
    <row r="110">
      <c r="A110" s="5" t="n"/>
      <c r="B110" s="6" t="n"/>
      <c r="C110" s="6" t="n"/>
      <c r="D110" s="6" t="n"/>
      <c r="E110" s="6" t="n"/>
      <c r="F110" s="7" t="n"/>
      <c r="G110" s="6" t="n"/>
      <c r="H110" s="6" t="n"/>
      <c r="I110" s="6" t="n"/>
      <c r="J110" s="6" t="n"/>
    </row>
    <row r="111">
      <c r="A111" s="5" t="n"/>
      <c r="B111" s="6" t="n"/>
      <c r="C111" s="6" t="n"/>
      <c r="D111" s="6" t="n"/>
      <c r="E111" s="6" t="n"/>
      <c r="F111" s="7" t="n"/>
      <c r="G111" s="6" t="n"/>
      <c r="H111" s="6" t="n"/>
      <c r="I111" s="6" t="n"/>
      <c r="J111" s="6" t="n"/>
    </row>
    <row r="112">
      <c r="A112" s="5" t="n"/>
      <c r="B112" s="6" t="n"/>
      <c r="C112" s="6" t="n"/>
      <c r="D112" s="6" t="n"/>
      <c r="E112" s="6" t="n"/>
      <c r="F112" s="7" t="n"/>
      <c r="G112" s="6" t="n"/>
      <c r="H112" s="6" t="n"/>
      <c r="I112" s="6" t="n"/>
      <c r="J112" s="6" t="n"/>
    </row>
    <row r="113">
      <c r="A113" s="5" t="n"/>
      <c r="B113" s="6" t="n"/>
      <c r="C113" s="6" t="n"/>
      <c r="D113" s="6" t="n"/>
      <c r="E113" s="6" t="n"/>
      <c r="F113" s="7" t="n"/>
      <c r="G113" s="6" t="n"/>
      <c r="H113" s="6" t="n"/>
      <c r="I113" s="6" t="n"/>
      <c r="J113" s="6" t="n"/>
    </row>
    <row r="114">
      <c r="A114" s="5" t="n"/>
      <c r="B114" s="6" t="n"/>
      <c r="C114" s="6" t="n"/>
      <c r="D114" s="6" t="n"/>
      <c r="E114" s="6" t="n"/>
      <c r="F114" s="7" t="n"/>
      <c r="G114" s="6" t="n"/>
      <c r="H114" s="6" t="n"/>
      <c r="I114" s="6" t="n"/>
      <c r="J114" s="6" t="n"/>
    </row>
    <row r="115">
      <c r="A115" s="5" t="n"/>
      <c r="B115" s="6" t="n"/>
      <c r="C115" s="6" t="n"/>
      <c r="D115" s="6" t="n"/>
      <c r="E115" s="6" t="n"/>
      <c r="F115" s="7" t="n"/>
      <c r="G115" s="6" t="n"/>
      <c r="H115" s="6" t="n"/>
      <c r="I115" s="6" t="n"/>
      <c r="J115" s="6" t="n"/>
    </row>
    <row r="116">
      <c r="A116" s="5" t="n"/>
      <c r="B116" s="6" t="n"/>
      <c r="C116" s="6" t="n"/>
      <c r="D116" s="6" t="n"/>
      <c r="E116" s="6" t="n"/>
      <c r="F116" s="7" t="n"/>
      <c r="G116" s="6" t="n"/>
      <c r="H116" s="6" t="n"/>
      <c r="I116" s="6" t="n"/>
      <c r="J116" s="6" t="n"/>
    </row>
    <row r="117">
      <c r="A117" s="5" t="n"/>
      <c r="B117" s="6" t="n"/>
      <c r="C117" s="6" t="n"/>
      <c r="D117" s="6" t="n"/>
      <c r="E117" s="6" t="n"/>
      <c r="F117" s="7" t="n"/>
      <c r="G117" s="6" t="n"/>
      <c r="H117" s="6" t="n"/>
      <c r="I117" s="6" t="n"/>
      <c r="J117" s="6" t="n"/>
    </row>
    <row r="118">
      <c r="A118" s="5" t="n"/>
      <c r="B118" s="6" t="n"/>
      <c r="C118" s="6" t="n"/>
      <c r="D118" s="6" t="n"/>
      <c r="E118" s="6" t="n"/>
      <c r="F118" s="7" t="n"/>
      <c r="G118" s="6" t="n"/>
      <c r="H118" s="6" t="n"/>
      <c r="I118" s="6" t="n"/>
      <c r="J118" s="6" t="n"/>
    </row>
    <row r="119">
      <c r="A119" s="5" t="n"/>
      <c r="B119" s="6" t="n"/>
      <c r="C119" s="6" t="n"/>
      <c r="D119" s="6" t="n"/>
      <c r="E119" s="6" t="n"/>
      <c r="F119" s="7" t="n"/>
      <c r="G119" s="6" t="n"/>
      <c r="H119" s="6" t="n"/>
      <c r="I119" s="6" t="n"/>
      <c r="J119" s="6" t="n"/>
    </row>
    <row r="120">
      <c r="A120" s="5" t="n"/>
      <c r="B120" s="6" t="n"/>
      <c r="C120" s="6" t="n"/>
      <c r="D120" s="6" t="n"/>
      <c r="E120" s="6" t="n"/>
      <c r="F120" s="7" t="n"/>
      <c r="G120" s="6" t="n"/>
      <c r="H120" s="6" t="n"/>
      <c r="I120" s="6" t="n"/>
      <c r="J120" s="6" t="n"/>
    </row>
    <row r="121">
      <c r="A121" s="5" t="n"/>
      <c r="B121" s="6" t="n"/>
      <c r="C121" s="6" t="n"/>
      <c r="D121" s="6" t="n"/>
      <c r="E121" s="6" t="n"/>
      <c r="F121" s="7" t="n"/>
      <c r="G121" s="6" t="n"/>
      <c r="H121" s="6" t="n"/>
      <c r="I121" s="6" t="n"/>
      <c r="J121" s="6" t="n"/>
    </row>
    <row r="122">
      <c r="A122" s="5" t="n"/>
      <c r="B122" s="6" t="n"/>
      <c r="C122" s="6" t="n"/>
      <c r="D122" s="6" t="n"/>
      <c r="E122" s="6" t="n"/>
      <c r="F122" s="7" t="n"/>
      <c r="G122" s="6" t="n"/>
      <c r="H122" s="6" t="n"/>
      <c r="I122" s="6" t="n"/>
      <c r="J122" s="6" t="n"/>
    </row>
    <row r="123">
      <c r="A123" s="5" t="n"/>
      <c r="B123" s="6" t="n"/>
      <c r="C123" s="6" t="n"/>
      <c r="D123" s="6" t="n"/>
      <c r="E123" s="6" t="n"/>
      <c r="F123" s="7" t="n"/>
      <c r="G123" s="6" t="n"/>
      <c r="H123" s="6" t="n"/>
      <c r="I123" s="6" t="n"/>
      <c r="J123" s="6" t="n"/>
    </row>
    <row r="124">
      <c r="A124" s="5" t="n"/>
      <c r="B124" s="6" t="n"/>
      <c r="C124" s="6" t="n"/>
      <c r="D124" s="6" t="n"/>
      <c r="E124" s="6" t="n"/>
      <c r="F124" s="7" t="n"/>
      <c r="G124" s="6" t="n"/>
      <c r="H124" s="6" t="n"/>
      <c r="I124" s="6" t="n"/>
      <c r="J124" s="6" t="n"/>
    </row>
    <row r="125">
      <c r="A125" s="5" t="n"/>
      <c r="B125" s="6" t="n"/>
      <c r="C125" s="6" t="n"/>
      <c r="D125" s="6" t="n"/>
      <c r="E125" s="6" t="n"/>
      <c r="F125" s="7" t="n"/>
      <c r="G125" s="6" t="n"/>
      <c r="H125" s="6" t="n"/>
      <c r="I125" s="6" t="n"/>
      <c r="J125" s="6" t="n"/>
    </row>
  </sheetData>
  <mergeCells count="1">
    <mergeCell ref="A2:J2"/>
  </mergeCells>
  <dataValidations count="1">
    <dataValidation sqref="E6:E125" showDropDown="0" showInputMessage="0" showErrorMessage="0" allowBlank="1" errorTitle="Invalid outcome" error="Choose one: Closed, Not Closed, Rescheduled, No-Show" type="list">
      <formula1>"Closed,Not Closed,Rescheduled,No-Show"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6" customWidth="1" min="3" max="3"/>
    <col width="10" customWidth="1" min="4" max="4"/>
    <col width="12" customWidth="1" min="5" max="5"/>
    <col width="13" customWidth="1" min="6" max="6"/>
    <col width="15" customWidth="1" min="7" max="7"/>
    <col width="32" customWidth="1" min="8" max="8"/>
  </cols>
  <sheetData>
    <row r="1">
      <c r="A1" s="1" t="inlineStr">
        <is>
          <t>Sales Job — Weekly Summary</t>
        </is>
      </c>
    </row>
    <row r="2" ht="28" customHeight="1">
      <c r="A2" s="2" t="inlineStr">
        <is>
          <t>Fill in Week Start / Week End (blue). Appointments Run, Closes, and Close Rate calculate automatically from the Appointment Log sheet. Target: 18% minimum / 20% stretch.</t>
        </is>
      </c>
    </row>
    <row r="4" ht="32" customHeight="1">
      <c r="A4" s="3" t="inlineStr">
        <is>
          <t>Week Start</t>
        </is>
      </c>
      <c r="B4" s="3" t="inlineStr">
        <is>
          <t>Week End</t>
        </is>
      </c>
      <c r="C4" s="3" t="inlineStr">
        <is>
          <t>Appointments Run</t>
        </is>
      </c>
      <c r="D4" s="3" t="inlineStr">
        <is>
          <t>Closes</t>
        </is>
      </c>
      <c r="E4" s="3" t="inlineStr">
        <is>
          <t>Close Rate</t>
        </is>
      </c>
      <c r="F4" s="3" t="inlineStr">
        <is>
          <t>vs. 18% Min</t>
        </is>
      </c>
      <c r="G4" s="3" t="inlineStr">
        <is>
          <t>vs. 20% Stretch</t>
        </is>
      </c>
      <c r="H4" s="3" t="inlineStr">
        <is>
          <t>Notes / Adjustment for Next Week</t>
        </is>
      </c>
    </row>
    <row r="5">
      <c r="A5" s="8" t="inlineStr">
        <is>
          <t>2026-08-10</t>
        </is>
      </c>
      <c r="B5" s="8" t="inlineStr">
        <is>
          <t>2026-08-16</t>
        </is>
      </c>
      <c r="C5" s="9">
        <f>IF(OR($A5="",$B5=""),"-",COUNTIFS('Appointment Log'!$A:$A,"&gt;="&amp;$A5,'Appointment Log'!$A:$A,"&lt;="&amp;$B5))</f>
        <v/>
      </c>
      <c r="D5" s="9">
        <f>IF(OR($A5="",$B5=""),"-",COUNTIFS('Appointment Log'!$A:$A,"&gt;="&amp;$A5,'Appointment Log'!$A:$A,"&lt;="&amp;$B5,'Appointment Log'!$E:$E,"Closed"))</f>
        <v/>
      </c>
      <c r="E5" s="10">
        <f>IFERROR(IF(N($C5)=0,"-",$D5/$C5),"-")</f>
        <v/>
      </c>
      <c r="F5" s="11">
        <f>IF(ISNUMBER($E5),IF($E5&gt;=0.18,"Met","Below"),"-")</f>
        <v/>
      </c>
      <c r="G5" s="11">
        <f>IF(ISNUMBER($E5),IF($E5&gt;=0.20,"Met","Below"),"-")</f>
        <v/>
      </c>
      <c r="H5" s="12" t="inlineStr">
        <is>
          <t>(example week — replace with real dates)</t>
        </is>
      </c>
    </row>
    <row r="6">
      <c r="A6" s="13" t="n"/>
      <c r="B6" s="13" t="n"/>
      <c r="C6" s="9">
        <f>IF(OR($A6="",$B6=""),"-",COUNTIFS('Appointment Log'!$A:$A,"&gt;="&amp;$A6,'Appointment Log'!$A:$A,"&lt;="&amp;$B6))</f>
        <v/>
      </c>
      <c r="D6" s="9">
        <f>IF(OR($A6="",$B6=""),"-",COUNTIFS('Appointment Log'!$A:$A,"&gt;="&amp;$A6,'Appointment Log'!$A:$A,"&lt;="&amp;$B6,'Appointment Log'!$E:$E,"Closed"))</f>
        <v/>
      </c>
      <c r="E6" s="10">
        <f>IFERROR(IF(N($C6)=0,"-",$D6/$C6),"-")</f>
        <v/>
      </c>
      <c r="F6" s="11">
        <f>IF(ISNUMBER($E6),IF($E6&gt;=0.18,"Met","Below"),"-")</f>
        <v/>
      </c>
      <c r="G6" s="11">
        <f>IF(ISNUMBER($E6),IF($E6&gt;=0.20,"Met","Below"),"-")</f>
        <v/>
      </c>
      <c r="H6" s="6" t="n"/>
    </row>
    <row r="7">
      <c r="A7" s="13" t="n"/>
      <c r="B7" s="13" t="n"/>
      <c r="C7" s="9">
        <f>IF(OR($A7="",$B7=""),"-",COUNTIFS('Appointment Log'!$A:$A,"&gt;="&amp;$A7,'Appointment Log'!$A:$A,"&lt;="&amp;$B7))</f>
        <v/>
      </c>
      <c r="D7" s="9">
        <f>IF(OR($A7="",$B7=""),"-",COUNTIFS('Appointment Log'!$A:$A,"&gt;="&amp;$A7,'Appointment Log'!$A:$A,"&lt;="&amp;$B7,'Appointment Log'!$E:$E,"Closed"))</f>
        <v/>
      </c>
      <c r="E7" s="10">
        <f>IFERROR(IF(N($C7)=0,"-",$D7/$C7),"-")</f>
        <v/>
      </c>
      <c r="F7" s="11">
        <f>IF(ISNUMBER($E7),IF($E7&gt;=0.18,"Met","Below"),"-")</f>
        <v/>
      </c>
      <c r="G7" s="11">
        <f>IF(ISNUMBER($E7),IF($E7&gt;=0.20,"Met","Below"),"-")</f>
        <v/>
      </c>
      <c r="H7" s="6" t="n"/>
    </row>
    <row r="8">
      <c r="A8" s="13" t="n"/>
      <c r="B8" s="13" t="n"/>
      <c r="C8" s="9">
        <f>IF(OR($A8="",$B8=""),"-",COUNTIFS('Appointment Log'!$A:$A,"&gt;="&amp;$A8,'Appointment Log'!$A:$A,"&lt;="&amp;$B8))</f>
        <v/>
      </c>
      <c r="D8" s="9">
        <f>IF(OR($A8="",$B8=""),"-",COUNTIFS('Appointment Log'!$A:$A,"&gt;="&amp;$A8,'Appointment Log'!$A:$A,"&lt;="&amp;$B8,'Appointment Log'!$E:$E,"Closed"))</f>
        <v/>
      </c>
      <c r="E8" s="10">
        <f>IFERROR(IF(N($C8)=0,"-",$D8/$C8),"-")</f>
        <v/>
      </c>
      <c r="F8" s="11">
        <f>IF(ISNUMBER($E8),IF($E8&gt;=0.18,"Met","Below"),"-")</f>
        <v/>
      </c>
      <c r="G8" s="11">
        <f>IF(ISNUMBER($E8),IF($E8&gt;=0.20,"Met","Below"),"-")</f>
        <v/>
      </c>
      <c r="H8" s="6" t="n"/>
    </row>
    <row r="9">
      <c r="A9" s="13" t="n"/>
      <c r="B9" s="13" t="n"/>
      <c r="C9" s="9">
        <f>IF(OR($A9="",$B9=""),"-",COUNTIFS('Appointment Log'!$A:$A,"&gt;="&amp;$A9,'Appointment Log'!$A:$A,"&lt;="&amp;$B9))</f>
        <v/>
      </c>
      <c r="D9" s="9">
        <f>IF(OR($A9="",$B9=""),"-",COUNTIFS('Appointment Log'!$A:$A,"&gt;="&amp;$A9,'Appointment Log'!$A:$A,"&lt;="&amp;$B9,'Appointment Log'!$E:$E,"Closed"))</f>
        <v/>
      </c>
      <c r="E9" s="10">
        <f>IFERROR(IF(N($C9)=0,"-",$D9/$C9),"-")</f>
        <v/>
      </c>
      <c r="F9" s="11">
        <f>IF(ISNUMBER($E9),IF($E9&gt;=0.18,"Met","Below"),"-")</f>
        <v/>
      </c>
      <c r="G9" s="11">
        <f>IF(ISNUMBER($E9),IF($E9&gt;=0.20,"Met","Below"),"-")</f>
        <v/>
      </c>
      <c r="H9" s="6" t="n"/>
    </row>
    <row r="10">
      <c r="A10" s="13" t="n"/>
      <c r="B10" s="13" t="n"/>
      <c r="C10" s="9">
        <f>IF(OR($A10="",$B10=""),"-",COUNTIFS('Appointment Log'!$A:$A,"&gt;="&amp;$A10,'Appointment Log'!$A:$A,"&lt;="&amp;$B10))</f>
        <v/>
      </c>
      <c r="D10" s="9">
        <f>IF(OR($A10="",$B10=""),"-",COUNTIFS('Appointment Log'!$A:$A,"&gt;="&amp;$A10,'Appointment Log'!$A:$A,"&lt;="&amp;$B10,'Appointment Log'!$E:$E,"Closed"))</f>
        <v/>
      </c>
      <c r="E10" s="10">
        <f>IFERROR(IF(N($C10)=0,"-",$D10/$C10),"-")</f>
        <v/>
      </c>
      <c r="F10" s="11">
        <f>IF(ISNUMBER($E10),IF($E10&gt;=0.18,"Met","Below"),"-")</f>
        <v/>
      </c>
      <c r="G10" s="11">
        <f>IF(ISNUMBER($E10),IF($E10&gt;=0.20,"Met","Below"),"-")</f>
        <v/>
      </c>
      <c r="H10" s="6" t="n"/>
    </row>
    <row r="11">
      <c r="A11" s="13" t="n"/>
      <c r="B11" s="13" t="n"/>
      <c r="C11" s="9">
        <f>IF(OR($A11="",$B11=""),"-",COUNTIFS('Appointment Log'!$A:$A,"&gt;="&amp;$A11,'Appointment Log'!$A:$A,"&lt;="&amp;$B11))</f>
        <v/>
      </c>
      <c r="D11" s="9">
        <f>IF(OR($A11="",$B11=""),"-",COUNTIFS('Appointment Log'!$A:$A,"&gt;="&amp;$A11,'Appointment Log'!$A:$A,"&lt;="&amp;$B11,'Appointment Log'!$E:$E,"Closed"))</f>
        <v/>
      </c>
      <c r="E11" s="10">
        <f>IFERROR(IF(N($C11)=0,"-",$D11/$C11),"-")</f>
        <v/>
      </c>
      <c r="F11" s="11">
        <f>IF(ISNUMBER($E11),IF($E11&gt;=0.18,"Met","Below"),"-")</f>
        <v/>
      </c>
      <c r="G11" s="11">
        <f>IF(ISNUMBER($E11),IF($E11&gt;=0.20,"Met","Below"),"-")</f>
        <v/>
      </c>
      <c r="H11" s="6" t="n"/>
    </row>
    <row r="12">
      <c r="A12" s="13" t="n"/>
      <c r="B12" s="13" t="n"/>
      <c r="C12" s="9">
        <f>IF(OR($A12="",$B12=""),"-",COUNTIFS('Appointment Log'!$A:$A,"&gt;="&amp;$A12,'Appointment Log'!$A:$A,"&lt;="&amp;$B12))</f>
        <v/>
      </c>
      <c r="D12" s="9">
        <f>IF(OR($A12="",$B12=""),"-",COUNTIFS('Appointment Log'!$A:$A,"&gt;="&amp;$A12,'Appointment Log'!$A:$A,"&lt;="&amp;$B12,'Appointment Log'!$E:$E,"Closed"))</f>
        <v/>
      </c>
      <c r="E12" s="10">
        <f>IFERROR(IF(N($C12)=0,"-",$D12/$C12),"-")</f>
        <v/>
      </c>
      <c r="F12" s="11">
        <f>IF(ISNUMBER($E12),IF($E12&gt;=0.18,"Met","Below"),"-")</f>
        <v/>
      </c>
      <c r="G12" s="11">
        <f>IF(ISNUMBER($E12),IF($E12&gt;=0.20,"Met","Below"),"-")</f>
        <v/>
      </c>
      <c r="H12" s="6" t="n"/>
    </row>
    <row r="13">
      <c r="A13" s="13" t="n"/>
      <c r="B13" s="13" t="n"/>
      <c r="C13" s="9">
        <f>IF(OR($A13="",$B13=""),"-",COUNTIFS('Appointment Log'!$A:$A,"&gt;="&amp;$A13,'Appointment Log'!$A:$A,"&lt;="&amp;$B13))</f>
        <v/>
      </c>
      <c r="D13" s="9">
        <f>IF(OR($A13="",$B13=""),"-",COUNTIFS('Appointment Log'!$A:$A,"&gt;="&amp;$A13,'Appointment Log'!$A:$A,"&lt;="&amp;$B13,'Appointment Log'!$E:$E,"Closed"))</f>
        <v/>
      </c>
      <c r="E13" s="10">
        <f>IFERROR(IF(N($C13)=0,"-",$D13/$C13),"-")</f>
        <v/>
      </c>
      <c r="F13" s="11">
        <f>IF(ISNUMBER($E13),IF($E13&gt;=0.18,"Met","Below"),"-")</f>
        <v/>
      </c>
      <c r="G13" s="11">
        <f>IF(ISNUMBER($E13),IF($E13&gt;=0.20,"Met","Below"),"-")</f>
        <v/>
      </c>
      <c r="H13" s="6" t="n"/>
    </row>
    <row r="14">
      <c r="A14" s="13" t="n"/>
      <c r="B14" s="13" t="n"/>
      <c r="C14" s="9">
        <f>IF(OR($A14="",$B14=""),"-",COUNTIFS('Appointment Log'!$A:$A,"&gt;="&amp;$A14,'Appointment Log'!$A:$A,"&lt;="&amp;$B14))</f>
        <v/>
      </c>
      <c r="D14" s="9">
        <f>IF(OR($A14="",$B14=""),"-",COUNTIFS('Appointment Log'!$A:$A,"&gt;="&amp;$A14,'Appointment Log'!$A:$A,"&lt;="&amp;$B14,'Appointment Log'!$E:$E,"Closed"))</f>
        <v/>
      </c>
      <c r="E14" s="10">
        <f>IFERROR(IF(N($C14)=0,"-",$D14/$C14),"-")</f>
        <v/>
      </c>
      <c r="F14" s="11">
        <f>IF(ISNUMBER($E14),IF($E14&gt;=0.18,"Met","Below"),"-")</f>
        <v/>
      </c>
      <c r="G14" s="11">
        <f>IF(ISNUMBER($E14),IF($E14&gt;=0.20,"Met","Below"),"-")</f>
        <v/>
      </c>
      <c r="H14" s="6" t="n"/>
    </row>
    <row r="15">
      <c r="A15" s="13" t="n"/>
      <c r="B15" s="13" t="n"/>
      <c r="C15" s="9">
        <f>IF(OR($A15="",$B15=""),"-",COUNTIFS('Appointment Log'!$A:$A,"&gt;="&amp;$A15,'Appointment Log'!$A:$A,"&lt;="&amp;$B15))</f>
        <v/>
      </c>
      <c r="D15" s="9">
        <f>IF(OR($A15="",$B15=""),"-",COUNTIFS('Appointment Log'!$A:$A,"&gt;="&amp;$A15,'Appointment Log'!$A:$A,"&lt;="&amp;$B15,'Appointment Log'!$E:$E,"Closed"))</f>
        <v/>
      </c>
      <c r="E15" s="10">
        <f>IFERROR(IF(N($C15)=0,"-",$D15/$C15),"-")</f>
        <v/>
      </c>
      <c r="F15" s="11">
        <f>IF(ISNUMBER($E15),IF($E15&gt;=0.18,"Met","Below"),"-")</f>
        <v/>
      </c>
      <c r="G15" s="11">
        <f>IF(ISNUMBER($E15),IF($E15&gt;=0.20,"Met","Below"),"-")</f>
        <v/>
      </c>
      <c r="H15" s="6" t="n"/>
    </row>
    <row r="16">
      <c r="A16" s="13" t="n"/>
      <c r="B16" s="13" t="n"/>
      <c r="C16" s="9">
        <f>IF(OR($A16="",$B16=""),"-",COUNTIFS('Appointment Log'!$A:$A,"&gt;="&amp;$A16,'Appointment Log'!$A:$A,"&lt;="&amp;$B16))</f>
        <v/>
      </c>
      <c r="D16" s="9">
        <f>IF(OR($A16="",$B16=""),"-",COUNTIFS('Appointment Log'!$A:$A,"&gt;="&amp;$A16,'Appointment Log'!$A:$A,"&lt;="&amp;$B16,'Appointment Log'!$E:$E,"Closed"))</f>
        <v/>
      </c>
      <c r="E16" s="10">
        <f>IFERROR(IF(N($C16)=0,"-",$D16/$C16),"-")</f>
        <v/>
      </c>
      <c r="F16" s="11">
        <f>IF(ISNUMBER($E16),IF($E16&gt;=0.18,"Met","Below"),"-")</f>
        <v/>
      </c>
      <c r="G16" s="11">
        <f>IF(ISNUMBER($E16),IF($E16&gt;=0.20,"Met","Below"),"-")</f>
        <v/>
      </c>
      <c r="H16" s="6" t="n"/>
    </row>
    <row r="17">
      <c r="A17" s="13" t="n"/>
      <c r="B17" s="13" t="n"/>
      <c r="C17" s="9">
        <f>IF(OR($A17="",$B17=""),"-",COUNTIFS('Appointment Log'!$A:$A,"&gt;="&amp;$A17,'Appointment Log'!$A:$A,"&lt;="&amp;$B17))</f>
        <v/>
      </c>
      <c r="D17" s="9">
        <f>IF(OR($A17="",$B17=""),"-",COUNTIFS('Appointment Log'!$A:$A,"&gt;="&amp;$A17,'Appointment Log'!$A:$A,"&lt;="&amp;$B17,'Appointment Log'!$E:$E,"Closed"))</f>
        <v/>
      </c>
      <c r="E17" s="10">
        <f>IFERROR(IF(N($C17)=0,"-",$D17/$C17),"-")</f>
        <v/>
      </c>
      <c r="F17" s="11">
        <f>IF(ISNUMBER($E17),IF($E17&gt;=0.18,"Met","Below"),"-")</f>
        <v/>
      </c>
      <c r="G17" s="11">
        <f>IF(ISNUMBER($E17),IF($E17&gt;=0.20,"Met","Below"),"-")</f>
        <v/>
      </c>
      <c r="H17" s="6" t="n"/>
    </row>
    <row r="18">
      <c r="A18" s="13" t="n"/>
      <c r="B18" s="13" t="n"/>
      <c r="C18" s="9">
        <f>IF(OR($A18="",$B18=""),"-",COUNTIFS('Appointment Log'!$A:$A,"&gt;="&amp;$A18,'Appointment Log'!$A:$A,"&lt;="&amp;$B18))</f>
        <v/>
      </c>
      <c r="D18" s="9">
        <f>IF(OR($A18="",$B18=""),"-",COUNTIFS('Appointment Log'!$A:$A,"&gt;="&amp;$A18,'Appointment Log'!$A:$A,"&lt;="&amp;$B18,'Appointment Log'!$E:$E,"Closed"))</f>
        <v/>
      </c>
      <c r="E18" s="10">
        <f>IFERROR(IF(N($C18)=0,"-",$D18/$C18),"-")</f>
        <v/>
      </c>
      <c r="F18" s="11">
        <f>IF(ISNUMBER($E18),IF($E18&gt;=0.18,"Met","Below"),"-")</f>
        <v/>
      </c>
      <c r="G18" s="11">
        <f>IF(ISNUMBER($E18),IF($E18&gt;=0.20,"Met","Below"),"-")</f>
        <v/>
      </c>
      <c r="H18" s="6" t="n"/>
    </row>
    <row r="19">
      <c r="A19" s="13" t="n"/>
      <c r="B19" s="13" t="n"/>
      <c r="C19" s="9">
        <f>IF(OR($A19="",$B19=""),"-",COUNTIFS('Appointment Log'!$A:$A,"&gt;="&amp;$A19,'Appointment Log'!$A:$A,"&lt;="&amp;$B19))</f>
        <v/>
      </c>
      <c r="D19" s="9">
        <f>IF(OR($A19="",$B19=""),"-",COUNTIFS('Appointment Log'!$A:$A,"&gt;="&amp;$A19,'Appointment Log'!$A:$A,"&lt;="&amp;$B19,'Appointment Log'!$E:$E,"Closed"))</f>
        <v/>
      </c>
      <c r="E19" s="10">
        <f>IFERROR(IF(N($C19)=0,"-",$D19/$C19),"-")</f>
        <v/>
      </c>
      <c r="F19" s="11">
        <f>IF(ISNUMBER($E19),IF($E19&gt;=0.18,"Met","Below"),"-")</f>
        <v/>
      </c>
      <c r="G19" s="11">
        <f>IF(ISNUMBER($E19),IF($E19&gt;=0.20,"Met","Below"),"-")</f>
        <v/>
      </c>
      <c r="H19" s="6" t="n"/>
    </row>
    <row r="20">
      <c r="A20" s="13" t="n"/>
      <c r="B20" s="13" t="n"/>
      <c r="C20" s="9">
        <f>IF(OR($A20="",$B20=""),"-",COUNTIFS('Appointment Log'!$A:$A,"&gt;="&amp;$A20,'Appointment Log'!$A:$A,"&lt;="&amp;$B20))</f>
        <v/>
      </c>
      <c r="D20" s="9">
        <f>IF(OR($A20="",$B20=""),"-",COUNTIFS('Appointment Log'!$A:$A,"&gt;="&amp;$A20,'Appointment Log'!$A:$A,"&lt;="&amp;$B20,'Appointment Log'!$E:$E,"Closed"))</f>
        <v/>
      </c>
      <c r="E20" s="10">
        <f>IFERROR(IF(N($C20)=0,"-",$D20/$C20),"-")</f>
        <v/>
      </c>
      <c r="F20" s="11">
        <f>IF(ISNUMBER($E20),IF($E20&gt;=0.18,"Met","Below"),"-")</f>
        <v/>
      </c>
      <c r="G20" s="11">
        <f>IF(ISNUMBER($E20),IF($E20&gt;=0.20,"Met","Below"),"-")</f>
        <v/>
      </c>
      <c r="H20" s="6" t="n"/>
    </row>
    <row r="21">
      <c r="A21" s="13" t="n"/>
      <c r="B21" s="13" t="n"/>
      <c r="C21" s="9">
        <f>IF(OR($A21="",$B21=""),"-",COUNTIFS('Appointment Log'!$A:$A,"&gt;="&amp;$A21,'Appointment Log'!$A:$A,"&lt;="&amp;$B21))</f>
        <v/>
      </c>
      <c r="D21" s="9">
        <f>IF(OR($A21="",$B21=""),"-",COUNTIFS('Appointment Log'!$A:$A,"&gt;="&amp;$A21,'Appointment Log'!$A:$A,"&lt;="&amp;$B21,'Appointment Log'!$E:$E,"Closed"))</f>
        <v/>
      </c>
      <c r="E21" s="10">
        <f>IFERROR(IF(N($C21)=0,"-",$D21/$C21),"-")</f>
        <v/>
      </c>
      <c r="F21" s="11">
        <f>IF(ISNUMBER($E21),IF($E21&gt;=0.18,"Met","Below"),"-")</f>
        <v/>
      </c>
      <c r="G21" s="11">
        <f>IF(ISNUMBER($E21),IF($E21&gt;=0.20,"Met","Below"),"-")</f>
        <v/>
      </c>
      <c r="H21" s="6" t="n"/>
    </row>
    <row r="22">
      <c r="A22" s="13" t="n"/>
      <c r="B22" s="13" t="n"/>
      <c r="C22" s="9">
        <f>IF(OR($A22="",$B22=""),"-",COUNTIFS('Appointment Log'!$A:$A,"&gt;="&amp;$A22,'Appointment Log'!$A:$A,"&lt;="&amp;$B22))</f>
        <v/>
      </c>
      <c r="D22" s="9">
        <f>IF(OR($A22="",$B22=""),"-",COUNTIFS('Appointment Log'!$A:$A,"&gt;="&amp;$A22,'Appointment Log'!$A:$A,"&lt;="&amp;$B22,'Appointment Log'!$E:$E,"Closed"))</f>
        <v/>
      </c>
      <c r="E22" s="10">
        <f>IFERROR(IF(N($C22)=0,"-",$D22/$C22),"-")</f>
        <v/>
      </c>
      <c r="F22" s="11">
        <f>IF(ISNUMBER($E22),IF($E22&gt;=0.18,"Met","Below"),"-")</f>
        <v/>
      </c>
      <c r="G22" s="11">
        <f>IF(ISNUMBER($E22),IF($E22&gt;=0.20,"Met","Below"),"-")</f>
        <v/>
      </c>
      <c r="H22" s="6" t="n"/>
    </row>
    <row r="23">
      <c r="A23" s="13" t="n"/>
      <c r="B23" s="13" t="n"/>
      <c r="C23" s="9">
        <f>IF(OR($A23="",$B23=""),"-",COUNTIFS('Appointment Log'!$A:$A,"&gt;="&amp;$A23,'Appointment Log'!$A:$A,"&lt;="&amp;$B23))</f>
        <v/>
      </c>
      <c r="D23" s="9">
        <f>IF(OR($A23="",$B23=""),"-",COUNTIFS('Appointment Log'!$A:$A,"&gt;="&amp;$A23,'Appointment Log'!$A:$A,"&lt;="&amp;$B23,'Appointment Log'!$E:$E,"Closed"))</f>
        <v/>
      </c>
      <c r="E23" s="10">
        <f>IFERROR(IF(N($C23)=0,"-",$D23/$C23),"-")</f>
        <v/>
      </c>
      <c r="F23" s="11">
        <f>IF(ISNUMBER($E23),IF($E23&gt;=0.18,"Met","Below"),"-")</f>
        <v/>
      </c>
      <c r="G23" s="11">
        <f>IF(ISNUMBER($E23),IF($E23&gt;=0.20,"Met","Below"),"-")</f>
        <v/>
      </c>
      <c r="H23" s="6" t="n"/>
    </row>
    <row r="24">
      <c r="A24" s="13" t="n"/>
      <c r="B24" s="13" t="n"/>
      <c r="C24" s="9">
        <f>IF(OR($A24="",$B24=""),"-",COUNTIFS('Appointment Log'!$A:$A,"&gt;="&amp;$A24,'Appointment Log'!$A:$A,"&lt;="&amp;$B24))</f>
        <v/>
      </c>
      <c r="D24" s="9">
        <f>IF(OR($A24="",$B24=""),"-",COUNTIFS('Appointment Log'!$A:$A,"&gt;="&amp;$A24,'Appointment Log'!$A:$A,"&lt;="&amp;$B24,'Appointment Log'!$E:$E,"Closed"))</f>
        <v/>
      </c>
      <c r="E24" s="10">
        <f>IFERROR(IF(N($C24)=0,"-",$D24/$C24),"-")</f>
        <v/>
      </c>
      <c r="F24" s="11">
        <f>IF(ISNUMBER($E24),IF($E24&gt;=0.18,"Met","Below"),"-")</f>
        <v/>
      </c>
      <c r="G24" s="11">
        <f>IF(ISNUMBER($E24),IF($E24&gt;=0.20,"Met","Below"),"-")</f>
        <v/>
      </c>
      <c r="H24" s="6" t="n"/>
    </row>
    <row r="25">
      <c r="A25" s="13" t="n"/>
      <c r="B25" s="13" t="n"/>
      <c r="C25" s="9">
        <f>IF(OR($A25="",$B25=""),"-",COUNTIFS('Appointment Log'!$A:$A,"&gt;="&amp;$A25,'Appointment Log'!$A:$A,"&lt;="&amp;$B25))</f>
        <v/>
      </c>
      <c r="D25" s="9">
        <f>IF(OR($A25="",$B25=""),"-",COUNTIFS('Appointment Log'!$A:$A,"&gt;="&amp;$A25,'Appointment Log'!$A:$A,"&lt;="&amp;$B25,'Appointment Log'!$E:$E,"Closed"))</f>
        <v/>
      </c>
      <c r="E25" s="10">
        <f>IFERROR(IF(N($C25)=0,"-",$D25/$C25),"-")</f>
        <v/>
      </c>
      <c r="F25" s="11">
        <f>IF(ISNUMBER($E25),IF($E25&gt;=0.18,"Met","Below"),"-")</f>
        <v/>
      </c>
      <c r="G25" s="11">
        <f>IF(ISNUMBER($E25),IF($E25&gt;=0.20,"Met","Below"),"-")</f>
        <v/>
      </c>
      <c r="H25" s="6" t="n"/>
    </row>
    <row r="26">
      <c r="A26" s="13" t="n"/>
      <c r="B26" s="13" t="n"/>
      <c r="C26" s="9">
        <f>IF(OR($A26="",$B26=""),"-",COUNTIFS('Appointment Log'!$A:$A,"&gt;="&amp;$A26,'Appointment Log'!$A:$A,"&lt;="&amp;$B26))</f>
        <v/>
      </c>
      <c r="D26" s="9">
        <f>IF(OR($A26="",$B26=""),"-",COUNTIFS('Appointment Log'!$A:$A,"&gt;="&amp;$A26,'Appointment Log'!$A:$A,"&lt;="&amp;$B26,'Appointment Log'!$E:$E,"Closed"))</f>
        <v/>
      </c>
      <c r="E26" s="10">
        <f>IFERROR(IF(N($C26)=0,"-",$D26/$C26),"-")</f>
        <v/>
      </c>
      <c r="F26" s="11">
        <f>IF(ISNUMBER($E26),IF($E26&gt;=0.18,"Met","Below"),"-")</f>
        <v/>
      </c>
      <c r="G26" s="11">
        <f>IF(ISNUMBER($E26),IF($E26&gt;=0.20,"Met","Below"),"-")</f>
        <v/>
      </c>
      <c r="H26" s="6" t="n"/>
    </row>
    <row r="27">
      <c r="A27" s="13" t="n"/>
      <c r="B27" s="13" t="n"/>
      <c r="C27" s="9">
        <f>IF(OR($A27="",$B27=""),"-",COUNTIFS('Appointment Log'!$A:$A,"&gt;="&amp;$A27,'Appointment Log'!$A:$A,"&lt;="&amp;$B27))</f>
        <v/>
      </c>
      <c r="D27" s="9">
        <f>IF(OR($A27="",$B27=""),"-",COUNTIFS('Appointment Log'!$A:$A,"&gt;="&amp;$A27,'Appointment Log'!$A:$A,"&lt;="&amp;$B27,'Appointment Log'!$E:$E,"Closed"))</f>
        <v/>
      </c>
      <c r="E27" s="10">
        <f>IFERROR(IF(N($C27)=0,"-",$D27/$C27),"-")</f>
        <v/>
      </c>
      <c r="F27" s="11">
        <f>IF(ISNUMBER($E27),IF($E27&gt;=0.18,"Met","Below"),"-")</f>
        <v/>
      </c>
      <c r="G27" s="11">
        <f>IF(ISNUMBER($E27),IF($E27&gt;=0.20,"Met","Below"),"-")</f>
        <v/>
      </c>
      <c r="H27" s="6" t="n"/>
    </row>
    <row r="28">
      <c r="A28" s="13" t="n"/>
      <c r="B28" s="13" t="n"/>
      <c r="C28" s="9">
        <f>IF(OR($A28="",$B28=""),"-",COUNTIFS('Appointment Log'!$A:$A,"&gt;="&amp;$A28,'Appointment Log'!$A:$A,"&lt;="&amp;$B28))</f>
        <v/>
      </c>
      <c r="D28" s="9">
        <f>IF(OR($A28="",$B28=""),"-",COUNTIFS('Appointment Log'!$A:$A,"&gt;="&amp;$A28,'Appointment Log'!$A:$A,"&lt;="&amp;$B28,'Appointment Log'!$E:$E,"Closed"))</f>
        <v/>
      </c>
      <c r="E28" s="10">
        <f>IFERROR(IF(N($C28)=0,"-",$D28/$C28),"-")</f>
        <v/>
      </c>
      <c r="F28" s="11">
        <f>IF(ISNUMBER($E28),IF($E28&gt;=0.18,"Met","Below"),"-")</f>
        <v/>
      </c>
      <c r="G28" s="11">
        <f>IF(ISNUMBER($E28),IF($E28&gt;=0.20,"Met","Below"),"-")</f>
        <v/>
      </c>
      <c r="H28" s="6" t="n"/>
    </row>
    <row r="29">
      <c r="A29" s="13" t="n"/>
      <c r="B29" s="13" t="n"/>
      <c r="C29" s="9">
        <f>IF(OR($A29="",$B29=""),"-",COUNTIFS('Appointment Log'!$A:$A,"&gt;="&amp;$A29,'Appointment Log'!$A:$A,"&lt;="&amp;$B29))</f>
        <v/>
      </c>
      <c r="D29" s="9">
        <f>IF(OR($A29="",$B29=""),"-",COUNTIFS('Appointment Log'!$A:$A,"&gt;="&amp;$A29,'Appointment Log'!$A:$A,"&lt;="&amp;$B29,'Appointment Log'!$E:$E,"Closed"))</f>
        <v/>
      </c>
      <c r="E29" s="10">
        <f>IFERROR(IF(N($C29)=0,"-",$D29/$C29),"-")</f>
        <v/>
      </c>
      <c r="F29" s="11">
        <f>IF(ISNUMBER($E29),IF($E29&gt;=0.18,"Met","Below"),"-")</f>
        <v/>
      </c>
      <c r="G29" s="11">
        <f>IF(ISNUMBER($E29),IF($E29&gt;=0.20,"Met","Below"),"-")</f>
        <v/>
      </c>
      <c r="H29" s="6" t="n"/>
    </row>
    <row r="30">
      <c r="A30" s="13" t="n"/>
      <c r="B30" s="13" t="n"/>
      <c r="C30" s="9">
        <f>IF(OR($A30="",$B30=""),"-",COUNTIFS('Appointment Log'!$A:$A,"&gt;="&amp;$A30,'Appointment Log'!$A:$A,"&lt;="&amp;$B30))</f>
        <v/>
      </c>
      <c r="D30" s="9">
        <f>IF(OR($A30="",$B30=""),"-",COUNTIFS('Appointment Log'!$A:$A,"&gt;="&amp;$A30,'Appointment Log'!$A:$A,"&lt;="&amp;$B30,'Appointment Log'!$E:$E,"Closed"))</f>
        <v/>
      </c>
      <c r="E30" s="10">
        <f>IFERROR(IF(N($C30)=0,"-",$D30/$C30),"-")</f>
        <v/>
      </c>
      <c r="F30" s="11">
        <f>IF(ISNUMBER($E30),IF($E30&gt;=0.18,"Met","Below"),"-")</f>
        <v/>
      </c>
      <c r="G30" s="11">
        <f>IF(ISNUMBER($E30),IF($E30&gt;=0.20,"Met","Below"),"-")</f>
        <v/>
      </c>
      <c r="H30" s="6" t="n"/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How to use this workbook</t>
        </is>
      </c>
    </row>
    <row r="2">
      <c r="A2" s="14" t="inlineStr"/>
    </row>
    <row r="3">
      <c r="A3" s="15" t="inlineStr">
        <is>
          <t>Appointment Log tab:</t>
        </is>
      </c>
    </row>
    <row r="4">
      <c r="A4" s="14" t="inlineStr">
        <is>
          <t xml:space="preserve">  - One row per appointment. Blue cells = fill in yourself.</t>
        </is>
      </c>
    </row>
    <row r="5">
      <c r="A5" s="14" t="inlineStr">
        <is>
          <t xml:space="preserve">  - The grey italic row is an example — leave it or delete it, don't fill data into it.</t>
        </is>
      </c>
    </row>
    <row r="6">
      <c r="A6" s="14" t="inlineStr">
        <is>
          <t xml:space="preserve">  - Outcome column has a dropdown: Closed / Not Closed / Rescheduled / No-Show.</t>
        </is>
      </c>
    </row>
    <row r="7">
      <c r="A7" s="14" t="inlineStr"/>
    </row>
    <row r="8">
      <c r="A8" s="15" t="inlineStr">
        <is>
          <t>Weekly Summary tab:</t>
        </is>
      </c>
    </row>
    <row r="9">
      <c r="A9" s="14" t="inlineStr">
        <is>
          <t xml:space="preserve">  - Enter Week Start and Week End (blue cells) for each week.</t>
        </is>
      </c>
    </row>
    <row r="10">
      <c r="A10" s="14" t="inlineStr">
        <is>
          <t xml:space="preserve">  - Appointments Run, Closes, and Close Rate calculate automatically from the</t>
        </is>
      </c>
    </row>
    <row r="11">
      <c r="A11" s="14" t="inlineStr">
        <is>
          <t xml:space="preserve">    Appointment Log tab — do not type into those columns.</t>
        </is>
      </c>
    </row>
    <row r="12">
      <c r="A12" s="14" t="inlineStr">
        <is>
          <t xml:space="preserve">  - vs. 18% Min / vs. 20% Stretch show Met/Below automatically against the targets</t>
        </is>
      </c>
    </row>
    <row r="13">
      <c r="A13" s="14" t="inlineStr">
        <is>
          <t xml:space="preserve">    set in the 2026-08-05 sales-job session (see domains/sales-job.md).</t>
        </is>
      </c>
    </row>
    <row r="14">
      <c r="A14" s="14" t="inlineStr">
        <is>
          <t xml:space="preserve">  - Notes column (blue) is for the one adjustment decided each weekly review.</t>
        </is>
      </c>
    </row>
    <row r="15">
      <c r="A15" s="14" t="inlineStr"/>
    </row>
    <row r="16">
      <c r="A16" s="14" t="inlineStr">
        <is>
          <t>This workbook is the tracking layer behind domains/sales-job.md's System section.</t>
        </is>
      </c>
    </row>
    <row r="17">
      <c r="A17" s="14" t="inlineStr">
        <is>
          <t>It does not replace the weekly review itself — it's what you tally during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2026-08-06T01:32:14Z</dcterms:created>
  <dcterms:modified xsi:type="dcterms:W3CDTF">2026-08-06T01:32:14Z</dcterms:modified>
</cp:coreProperties>
</file>